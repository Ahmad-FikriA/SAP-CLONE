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Project Programming\web_project\src\37 - PPHSE PT KTI Backend\User\"/>
    </mc:Choice>
  </mc:AlternateContent>
  <xr:revisionPtr revIDLastSave="0" documentId="13_ncr:1_{419564CA-C287-49F0-A4F2-31D74C319666}" xr6:coauthVersionLast="47" xr6:coauthVersionMax="47" xr10:uidLastSave="{00000000-0000-0000-0000-000000000000}"/>
  <bookViews>
    <workbookView xWindow="-108" yWindow="-108" windowWidth="23256" windowHeight="12456" xr2:uid="{F1296830-9EF7-4D91-872E-3A93D0A4FD8F}"/>
  </bookViews>
  <sheets>
    <sheet name="02. Data Karyawa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1__123Graph_ACHART_2" localSheetId="0" hidden="1">[1]Daerah!#REF!</definedName>
    <definedName name="_11__123Graph_XCHART_2" localSheetId="0" hidden="1">[2]Daerah!#REF!</definedName>
    <definedName name="_2__123Graph_ACHART_2" localSheetId="0" hidden="1">[2]Daerah!#REF!</definedName>
    <definedName name="_2__123Graph_ACHART_3" localSheetId="0" hidden="1">[3]B!$E$6:$E$11</definedName>
    <definedName name="_3__123Graph_XCHART_2" localSheetId="0" hidden="1">[1]Daerah!#REF!</definedName>
    <definedName name="_5__123Graph_ACHART_2" localSheetId="0" hidden="1">[2]Daerah!#REF!</definedName>
    <definedName name="_5__123Graph_XCHART_2" localSheetId="0" hidden="1">[2]Daerah!#REF!</definedName>
    <definedName name="_BOD1">'[4]광양 3기 유입수'!$L$18</definedName>
    <definedName name="_COD1">'[4]광양 3기 유입수'!$L$19</definedName>
    <definedName name="_xlnm._FilterDatabase" localSheetId="0" hidden="1">'02. Data Karyawan'!$B$6:$H$191</definedName>
    <definedName name="_xlnm._FilterDatabase" hidden="1">#REF!</definedName>
    <definedName name="_Key1" localSheetId="0" hidden="1">#REF!</definedName>
    <definedName name="_Sort" localSheetId="0" hidden="1">#REF!</definedName>
    <definedName name="_TN1">'[4]광양 3기 유입수'!$L$21</definedName>
    <definedName name="_TP1">'[4]광양 3기 유입수'!$L$22</definedName>
    <definedName name="A_AC_HRT">'[5]INPUT-DATA'!$E$197</definedName>
    <definedName name="A_AC_VOL1">'[5]INPUT-DATA'!$F$190</definedName>
    <definedName name="A_AC_VOL2">'[5]INPUT-DATA'!$F$191</definedName>
    <definedName name="A_BAL_EX.SLQUNT">[6]물질수지!$E$65</definedName>
    <definedName name="a_d_qda">'[6]INPUT-DATA'!$H$34</definedName>
    <definedName name="a_d_qdm">'[5]INPUT-DATA'!$F$35</definedName>
    <definedName name="a_d_qhm">'[6]INPUT-DATA'!$H$36</definedName>
    <definedName name="a_d_shm">'[6]INPUT-DATA'!$H$37</definedName>
    <definedName name="A_I_BOD">'[5]INPUT-DATA'!$F$39</definedName>
    <definedName name="A_I_SS">'[5]INPUT-DATA'!$F$40</definedName>
    <definedName name="a_ntsoil_qunt">'[5]INPUT-DATA'!$E$339</definedName>
    <definedName name="aa" localSheetId="0">#REF!</definedName>
    <definedName name="ac" localSheetId="0">#REF!</definedName>
    <definedName name="AC_B">'[5]INPUT-DATA'!$F$177</definedName>
    <definedName name="AC_C">'[5]INPUT-DATA'!$F$178</definedName>
    <definedName name="AS2DocOpenMode" hidden="1">"AS2DocumentBrowse"</definedName>
    <definedName name="B" localSheetId="0">#REF!</definedName>
    <definedName name="B_1" localSheetId="0">#REF!</definedName>
    <definedName name="BOD1E">'[4]광양 3기 유입수'!$W$18</definedName>
    <definedName name="COD">[7]계산근거!$D$15:$F$15</definedName>
    <definedName name="COD1E">'[4]광양 3기 유입수'!$W$19</definedName>
    <definedName name="_xlnm.Database" localSheetId="0">#REF!</definedName>
    <definedName name="_xlnm.Database">#REF!</definedName>
    <definedName name="Divisi" localSheetId="0" hidden="1">#REF!</definedName>
    <definedName name="DT.SL_MC">'[5]INPUT-DATA'!$G$63</definedName>
    <definedName name="DT_BOD">'[5]INPUT-DATA'!$G$70</definedName>
    <definedName name="DT_CAP">'[5]INPUT-DATA'!$G$53</definedName>
    <definedName name="DT_DR">'[5]INPUT-DATA'!$G$76</definedName>
    <definedName name="DT_VSS">'[5]INPUT-DATA'!$G$75</definedName>
    <definedName name="DW.SL_MC">'[5]INPUT-DATA'!$G$65</definedName>
    <definedName name="DW_BOD">'[5]INPUT-DATA'!$G$72</definedName>
    <definedName name="DW_CAP">'[5]INPUT-DATA'!$G$55</definedName>
    <definedName name="e_bod">'[5]INPUT-DATA'!$F$47</definedName>
    <definedName name="e_ss">'[5]INPUT-DATA'!$F$48</definedName>
    <definedName name="EX.SL_MC">'[5]INPUT-DATA'!$G$60</definedName>
    <definedName name="Excel_BuiltIn_Database" localSheetId="0">#REF!</definedName>
    <definedName name="Excel_BuiltIn_Database_1" localSheetId="0">#REF!</definedName>
    <definedName name="Excel_BuiltIn_Database_18" localSheetId="0">#REF!</definedName>
    <definedName name="Excel_BuiltIn_Print_Area" localSheetId="0">#REF!</definedName>
    <definedName name="Excel_BuiltIn_Print_Area_1" localSheetId="0">#REF!</definedName>
    <definedName name="Excel_BuiltIn_Print_Area_1_1" localSheetId="0">#REF!</definedName>
    <definedName name="Excel_BuiltIn_Print_Area_2_1" localSheetId="0">#REF!</definedName>
    <definedName name="Excel_BuiltIn_Print_Area_4_1" localSheetId="0">#REF!</definedName>
    <definedName name="ff" localSheetId="0">#REF!</definedName>
    <definedName name="fm_b">'[5]INPUT-DATA'!$F$166</definedName>
    <definedName name="fm_na">'[5]INPUT-DATA'!$F$168</definedName>
    <definedName name="fm_no">'[5]INPUT-DATA'!$F$167</definedName>
    <definedName name="GT.SL_MC">'[5]INPUT-DATA'!$G$61</definedName>
    <definedName name="GT_BOD">'[5]INPUT-DATA'!$G$68</definedName>
    <definedName name="GT_CAP">'[5]INPUT-DATA'!$G$51</definedName>
    <definedName name="HRTanox">[7]계산근거!$E$142</definedName>
    <definedName name="HRToxic">[7]계산근거!$E$76</definedName>
    <definedName name="IN">[8]계산근거!$E$12:$E$21</definedName>
    <definedName name="Kn">[8]계산근거!$E$45</definedName>
    <definedName name="Ko">[8]계산근거!$E$44</definedName>
    <definedName name="MLVSS">[7]계산근거!$G$33</definedName>
    <definedName name="MT_CAP">'[5]INPUT-DATA'!$G$52</definedName>
    <definedName name="NH4N">[8]계산근거!$C$19:$G$19</definedName>
    <definedName name="ntsoil_bod">'[5]INPUT-DATA'!$E$340</definedName>
    <definedName name="ntsoil_ss">'[5]INPUT-DATA'!$E$342</definedName>
    <definedName name="P.SL_MC">'[5]INPUT-DATA'!$G$59</definedName>
    <definedName name="p_bod_re">'[5]INPUT-DATA'!$F$43</definedName>
    <definedName name="p_ss_re">'[5]INPUT-DATA'!$F$44</definedName>
    <definedName name="pH">[8]계산근거!$C$54</definedName>
    <definedName name="pl_bal_ex.sl_qunt">[6]물질수지!$Z$65</definedName>
    <definedName name="pl_d_qda">'[6]INPUT-DATA'!$F$34</definedName>
    <definedName name="pl_d_qdm">'[6]INPUT-DATA'!$F$35</definedName>
    <definedName name="pl_d_qhm">'[6]INPUT-DATA'!$F$36</definedName>
    <definedName name="pl_d_shm">'[6]INPUT-DATA'!$F$37</definedName>
    <definedName name="_xlnm.Print_Area" localSheetId="0">'02. Data Karyawan'!$B$8:$H$204</definedName>
    <definedName name="_xlnm.Print_Area">#REF!</definedName>
    <definedName name="Print_Area_MI" localSheetId="0">#REF!</definedName>
    <definedName name="_xlnm.Print_Titles" localSheetId="0">'02. Data Karyawan'!$1:$6</definedName>
    <definedName name="_xlnm.Print_Titles">#REF!</definedName>
    <definedName name="Print_Titles_MI_1" localSheetId="0">#REF!</definedName>
    <definedName name="Print_Titles_MI_2" localSheetId="0">'[9]Nama Jabatan'!#REF!</definedName>
    <definedName name="Qi">[7]계산근거!$E$129</definedName>
    <definedName name="RASS">[7]계산근거!$G$35</definedName>
    <definedName name="RAW">[7]계산근거!$D$12:$D$21</definedName>
    <definedName name="SBODRATE">'[5]INPUT-DATA'!$F$174</definedName>
    <definedName name="Simulasi" localSheetId="0">#REF!</definedName>
    <definedName name="ST_2">'[5]INPUT-DATA'!$E$22</definedName>
    <definedName name="TEMP">[8]계산근거!$C$53</definedName>
    <definedName name="TN">[7]계산근거!$D$18:$F$18</definedName>
    <definedName name="TN1E">'[4]광양 3기 유입수'!$W$21</definedName>
    <definedName name="TP">[7]계산근거!$D$20:$F$20</definedName>
    <definedName name="TP1E">'[4]광양 3기 유입수'!$W$22</definedName>
    <definedName name="TSS">[7]계산근거!$D$16:$F$16</definedName>
    <definedName name="Un_m">[8]계산근거!$E$59</definedName>
    <definedName name="XXXX" localSheetId="0">#REF!</definedName>
    <definedName name="희망등록품종">[10]choose!$G$2:$G$42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6" i="1" l="1"/>
  <c r="C186" i="1"/>
  <c r="G185" i="1"/>
  <c r="C185" i="1"/>
  <c r="G184" i="1"/>
  <c r="C184" i="1"/>
  <c r="G183" i="1"/>
  <c r="C183" i="1"/>
  <c r="G182" i="1"/>
  <c r="C182" i="1"/>
  <c r="G181" i="1"/>
  <c r="C181" i="1"/>
  <c r="G180" i="1"/>
  <c r="C180" i="1"/>
  <c r="G179" i="1"/>
  <c r="C179" i="1"/>
  <c r="G178" i="1"/>
  <c r="C178" i="1"/>
  <c r="G177" i="1"/>
  <c r="C177" i="1"/>
  <c r="G176" i="1"/>
  <c r="C176" i="1"/>
  <c r="G175" i="1"/>
  <c r="C175" i="1"/>
  <c r="G174" i="1"/>
  <c r="C174" i="1"/>
  <c r="G173" i="1"/>
  <c r="C173" i="1"/>
  <c r="G172" i="1"/>
  <c r="C172" i="1"/>
  <c r="G171" i="1"/>
  <c r="C171" i="1"/>
  <c r="G170" i="1"/>
  <c r="C170" i="1"/>
  <c r="G169" i="1"/>
  <c r="C169" i="1"/>
  <c r="G168" i="1"/>
  <c r="C168" i="1"/>
  <c r="G167" i="1"/>
  <c r="C167" i="1"/>
  <c r="G166" i="1"/>
  <c r="C166" i="1"/>
  <c r="G165" i="1"/>
  <c r="C165" i="1"/>
  <c r="G164" i="1"/>
  <c r="G163" i="1"/>
  <c r="C163" i="1"/>
  <c r="G162" i="1"/>
  <c r="C162" i="1"/>
  <c r="G161" i="1"/>
  <c r="C161" i="1"/>
  <c r="G160" i="1"/>
  <c r="C160" i="1"/>
  <c r="G159" i="1"/>
  <c r="C159" i="1"/>
  <c r="G158" i="1"/>
  <c r="C158" i="1"/>
  <c r="G157" i="1"/>
  <c r="C157" i="1"/>
  <c r="G156" i="1"/>
  <c r="C156" i="1"/>
  <c r="G155" i="1"/>
  <c r="C155" i="1"/>
  <c r="G154" i="1"/>
  <c r="C154" i="1"/>
  <c r="G153" i="1"/>
  <c r="C153" i="1"/>
  <c r="G152" i="1"/>
  <c r="C152" i="1"/>
  <c r="G151" i="1"/>
  <c r="C151" i="1"/>
  <c r="G150" i="1"/>
  <c r="C150" i="1"/>
  <c r="G149" i="1"/>
  <c r="C149" i="1"/>
  <c r="G148" i="1"/>
  <c r="C148" i="1"/>
  <c r="G147" i="1"/>
  <c r="C147" i="1"/>
  <c r="G146" i="1"/>
  <c r="C146" i="1"/>
  <c r="G145" i="1"/>
  <c r="C145" i="1"/>
  <c r="G144" i="1"/>
  <c r="C144" i="1"/>
  <c r="G143" i="1"/>
  <c r="C143" i="1"/>
  <c r="G142" i="1"/>
  <c r="C142" i="1"/>
  <c r="G141" i="1"/>
  <c r="C141" i="1"/>
  <c r="G140" i="1"/>
  <c r="C140" i="1"/>
  <c r="G139" i="1"/>
  <c r="C139" i="1"/>
  <c r="G138" i="1"/>
  <c r="C138" i="1"/>
  <c r="G137" i="1"/>
  <c r="C137" i="1"/>
  <c r="G136" i="1"/>
  <c r="C136" i="1"/>
  <c r="G135" i="1"/>
  <c r="C135" i="1"/>
  <c r="G134" i="1"/>
  <c r="C134" i="1"/>
  <c r="G133" i="1"/>
  <c r="C133" i="1"/>
  <c r="G132" i="1"/>
  <c r="C132" i="1"/>
  <c r="G131" i="1"/>
  <c r="C131" i="1"/>
  <c r="G130" i="1"/>
  <c r="C130" i="1"/>
  <c r="G129" i="1"/>
  <c r="C129" i="1"/>
  <c r="G128" i="1"/>
  <c r="C128" i="1"/>
  <c r="G127" i="1"/>
  <c r="C127" i="1"/>
  <c r="G126" i="1"/>
  <c r="C126" i="1"/>
  <c r="G125" i="1"/>
  <c r="C125" i="1"/>
  <c r="G124" i="1"/>
  <c r="C124" i="1"/>
  <c r="G123" i="1"/>
  <c r="C123" i="1"/>
  <c r="G122" i="1"/>
  <c r="C122" i="1"/>
  <c r="G121" i="1"/>
  <c r="C121" i="1"/>
  <c r="G120" i="1"/>
  <c r="C120" i="1"/>
  <c r="G119" i="1"/>
  <c r="C119" i="1"/>
  <c r="G118" i="1"/>
  <c r="C118" i="1"/>
  <c r="G117" i="1"/>
  <c r="C117" i="1"/>
  <c r="G116" i="1"/>
  <c r="C116" i="1"/>
  <c r="G115" i="1"/>
  <c r="C115" i="1"/>
  <c r="G114" i="1"/>
  <c r="C114" i="1"/>
  <c r="G113" i="1"/>
  <c r="C113" i="1"/>
  <c r="G112" i="1"/>
  <c r="C112" i="1"/>
  <c r="G111" i="1"/>
  <c r="C111" i="1"/>
  <c r="G110" i="1"/>
  <c r="C110" i="1"/>
  <c r="G109" i="1"/>
  <c r="C109" i="1"/>
  <c r="G108" i="1"/>
  <c r="C108" i="1"/>
  <c r="G107" i="1"/>
  <c r="C107" i="1"/>
  <c r="G106" i="1"/>
  <c r="C106" i="1"/>
  <c r="G105" i="1"/>
  <c r="C105" i="1"/>
  <c r="G104" i="1"/>
  <c r="C104" i="1"/>
  <c r="G103" i="1"/>
  <c r="C103" i="1"/>
  <c r="G102" i="1"/>
  <c r="C102" i="1"/>
  <c r="G101" i="1"/>
  <c r="C101" i="1"/>
  <c r="G100" i="1"/>
  <c r="C100" i="1"/>
  <c r="G99" i="1"/>
  <c r="C99" i="1"/>
  <c r="G98" i="1"/>
  <c r="C98" i="1"/>
  <c r="G97" i="1"/>
  <c r="C97" i="1"/>
  <c r="G96" i="1"/>
  <c r="C96" i="1"/>
  <c r="G95" i="1"/>
  <c r="C95" i="1"/>
  <c r="G94" i="1"/>
  <c r="C94" i="1"/>
  <c r="G93" i="1"/>
  <c r="C93" i="1"/>
  <c r="G92" i="1"/>
  <c r="C92" i="1"/>
  <c r="G91" i="1"/>
  <c r="C91" i="1"/>
  <c r="G90" i="1"/>
  <c r="C90" i="1"/>
  <c r="G89" i="1"/>
  <c r="C89" i="1"/>
  <c r="G88" i="1"/>
  <c r="C88" i="1"/>
  <c r="G87" i="1"/>
  <c r="C87" i="1"/>
  <c r="G86" i="1"/>
  <c r="C86" i="1"/>
  <c r="G85" i="1"/>
  <c r="C85" i="1"/>
  <c r="G84" i="1"/>
  <c r="C84" i="1"/>
  <c r="G83" i="1"/>
  <c r="C83" i="1"/>
  <c r="G82" i="1"/>
  <c r="C82" i="1"/>
  <c r="G81" i="1"/>
  <c r="C81" i="1"/>
  <c r="G80" i="1"/>
  <c r="C80" i="1"/>
  <c r="G79" i="1"/>
  <c r="C79" i="1"/>
  <c r="G78" i="1"/>
  <c r="C78" i="1"/>
  <c r="G77" i="1"/>
  <c r="C77" i="1"/>
  <c r="G76" i="1"/>
  <c r="C76" i="1"/>
  <c r="G75" i="1"/>
  <c r="C75" i="1"/>
  <c r="G74" i="1"/>
  <c r="G73" i="1"/>
  <c r="C73" i="1"/>
  <c r="G72" i="1"/>
  <c r="C72" i="1"/>
  <c r="G71" i="1"/>
  <c r="C71" i="1"/>
  <c r="G70" i="1"/>
  <c r="C70" i="1"/>
  <c r="G69" i="1"/>
  <c r="C69" i="1"/>
  <c r="G68" i="1"/>
  <c r="C68" i="1"/>
  <c r="G67" i="1"/>
  <c r="C67" i="1"/>
  <c r="G66" i="1"/>
  <c r="C66" i="1"/>
  <c r="G65" i="1"/>
  <c r="C65" i="1"/>
  <c r="G64" i="1"/>
  <c r="C64" i="1"/>
  <c r="G63" i="1"/>
  <c r="C63" i="1"/>
  <c r="G62" i="1"/>
  <c r="C62" i="1"/>
  <c r="G61" i="1"/>
  <c r="C61" i="1"/>
  <c r="G60" i="1"/>
  <c r="C60" i="1"/>
  <c r="G59" i="1"/>
  <c r="C59" i="1"/>
  <c r="G58" i="1"/>
  <c r="C58" i="1"/>
  <c r="G57" i="1"/>
  <c r="C57" i="1"/>
  <c r="G56" i="1"/>
  <c r="C56" i="1"/>
  <c r="G55" i="1"/>
  <c r="C55" i="1"/>
  <c r="G54" i="1"/>
  <c r="C54" i="1"/>
  <c r="G53" i="1"/>
  <c r="C53" i="1"/>
  <c r="G52" i="1"/>
  <c r="C52" i="1"/>
  <c r="G51" i="1"/>
  <c r="C51" i="1"/>
  <c r="G50" i="1"/>
  <c r="C50" i="1"/>
  <c r="G49" i="1"/>
  <c r="C49" i="1"/>
  <c r="G48" i="1"/>
  <c r="C48" i="1"/>
  <c r="G47" i="1"/>
  <c r="C47" i="1"/>
  <c r="G46" i="1"/>
  <c r="C46" i="1"/>
  <c r="G45" i="1"/>
  <c r="C45" i="1"/>
  <c r="G44" i="1"/>
  <c r="C44" i="1"/>
  <c r="G43" i="1"/>
  <c r="C43" i="1"/>
  <c r="G42" i="1"/>
  <c r="C42" i="1"/>
  <c r="G41" i="1"/>
  <c r="C41" i="1"/>
  <c r="G40" i="1"/>
  <c r="C40" i="1"/>
  <c r="G39" i="1"/>
  <c r="C39" i="1"/>
  <c r="G38" i="1"/>
  <c r="C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B7" i="1" s="1"/>
  <c r="B183" i="1" l="1"/>
  <c r="B172" i="1"/>
  <c r="B154" i="1"/>
  <c r="B138" i="1"/>
  <c r="B87" i="1"/>
  <c r="B25" i="1"/>
  <c r="B165" i="1"/>
  <c r="B159" i="1"/>
  <c r="B96" i="1"/>
  <c r="B59" i="1"/>
  <c r="B56" i="1"/>
  <c r="B136" i="1"/>
  <c r="B71" i="1"/>
  <c r="B69" i="1"/>
  <c r="B68" i="1"/>
  <c r="B62" i="1"/>
  <c r="B44" i="1"/>
  <c r="B43" i="1"/>
  <c r="B42" i="1"/>
  <c r="B41" i="1"/>
  <c r="B38" i="1"/>
  <c r="B36" i="1"/>
  <c r="B35" i="1"/>
  <c r="B34" i="1"/>
  <c r="B33" i="1"/>
  <c r="B32" i="1"/>
  <c r="B31" i="1"/>
  <c r="B30" i="1"/>
  <c r="B10" i="1"/>
  <c r="B9" i="1"/>
  <c r="B8" i="1"/>
  <c r="B64" i="1"/>
  <c r="B55" i="1"/>
  <c r="B54" i="1"/>
  <c r="B26" i="1"/>
  <c r="B24" i="1"/>
  <c r="B178" i="1"/>
  <c r="B176" i="1"/>
  <c r="B122" i="1"/>
  <c r="B161" i="1"/>
  <c r="B158" i="1"/>
  <c r="B152" i="1"/>
  <c r="B119" i="1"/>
  <c r="B114" i="1"/>
  <c r="B173" i="1"/>
  <c r="B149" i="1"/>
  <c r="B113" i="1"/>
  <c r="B92" i="1"/>
  <c r="B86" i="1"/>
  <c r="B174" i="1"/>
  <c r="B143" i="1"/>
  <c r="B137" i="1"/>
  <c r="B126" i="1"/>
  <c r="B121" i="1"/>
  <c r="B98" i="1"/>
  <c r="B67" i="1"/>
  <c r="B181" i="1"/>
  <c r="B180" i="1"/>
  <c r="B179" i="1"/>
  <c r="B153" i="1"/>
  <c r="B141" i="1"/>
  <c r="B127" i="1"/>
  <c r="B84" i="1"/>
  <c r="B66" i="1"/>
  <c r="B177" i="1"/>
  <c r="B94" i="1"/>
  <c r="B82" i="1"/>
  <c r="B65" i="1"/>
  <c r="B185" i="1"/>
  <c r="B184" i="1"/>
  <c r="B163" i="1"/>
  <c r="B162" i="1"/>
  <c r="B124" i="1"/>
  <c r="B123" i="1"/>
  <c r="B120" i="1"/>
  <c r="B63" i="1"/>
  <c r="B23" i="1"/>
  <c r="B166" i="1"/>
  <c r="B151" i="1"/>
  <c r="B146" i="1"/>
  <c r="B135" i="1"/>
  <c r="B129" i="1"/>
  <c r="B118" i="1"/>
  <c r="B116" i="1"/>
  <c r="B115" i="1"/>
  <c r="B97" i="1"/>
  <c r="B93" i="1"/>
  <c r="B91" i="1"/>
  <c r="B85" i="1"/>
  <c r="B156" i="1"/>
  <c r="B148" i="1"/>
  <c r="B142" i="1"/>
  <c r="B112" i="1"/>
  <c r="B99" i="1"/>
  <c r="B95" i="1"/>
  <c r="B89" i="1"/>
  <c r="B88" i="1"/>
  <c r="B58" i="1"/>
  <c r="B57" i="1"/>
  <c r="B117" i="1"/>
  <c r="B100" i="1"/>
  <c r="B90" i="1"/>
  <c r="B83" i="1"/>
  <c r="B61" i="1"/>
  <c r="B60" i="1"/>
  <c r="B53" i="1"/>
  <c r="B101" i="1"/>
  <c r="B102" i="1"/>
  <c r="B103" i="1"/>
  <c r="B104" i="1"/>
  <c r="B105" i="1"/>
  <c r="B106" i="1"/>
  <c r="B107" i="1"/>
  <c r="B108" i="1"/>
  <c r="B109" i="1"/>
  <c r="B110" i="1"/>
  <c r="B111" i="1"/>
  <c r="B46" i="1"/>
  <c r="B45" i="1"/>
  <c r="B22" i="1"/>
  <c r="B27" i="1"/>
  <c r="B170" i="1"/>
  <c r="B21" i="1"/>
  <c r="B157" i="1"/>
  <c r="B20" i="1"/>
  <c r="B19" i="1"/>
  <c r="B18" i="1"/>
  <c r="B17" i="1"/>
  <c r="B16" i="1"/>
  <c r="B15" i="1"/>
  <c r="B40" i="1"/>
  <c r="B14" i="1"/>
  <c r="B128" i="1"/>
  <c r="B147" i="1"/>
  <c r="B133" i="1"/>
  <c r="B150" i="1"/>
  <c r="B125" i="1"/>
  <c r="B168" i="1"/>
  <c r="B79" i="1"/>
  <c r="B169" i="1"/>
  <c r="B11" i="1"/>
  <c r="B160" i="1"/>
  <c r="B80" i="1"/>
  <c r="B76" i="1"/>
  <c r="B164" i="1"/>
  <c r="B171" i="1"/>
  <c r="B182" i="1"/>
  <c r="B81" i="1"/>
  <c r="B75" i="1"/>
  <c r="B74" i="1"/>
  <c r="B73" i="1"/>
  <c r="B39" i="1"/>
  <c r="B186" i="1"/>
  <c r="B37" i="1"/>
  <c r="B140" i="1"/>
  <c r="B72" i="1"/>
  <c r="B52" i="1"/>
  <c r="B51" i="1"/>
  <c r="B50" i="1"/>
  <c r="B49" i="1"/>
  <c r="B139" i="1"/>
  <c r="B167" i="1"/>
  <c r="B48" i="1"/>
  <c r="B47" i="1"/>
  <c r="B70" i="1"/>
  <c r="B12" i="1"/>
  <c r="B131" i="1"/>
  <c r="B134" i="1"/>
  <c r="B155" i="1"/>
  <c r="B144" i="1"/>
  <c r="B145" i="1"/>
  <c r="B132" i="1"/>
  <c r="B13" i="1"/>
  <c r="B77" i="1"/>
  <c r="B28" i="1"/>
  <c r="B29" i="1"/>
  <c r="B175" i="1"/>
  <c r="B78" i="1"/>
  <c r="B130" i="1"/>
</calcChain>
</file>

<file path=xl/sharedStrings.xml><?xml version="1.0" encoding="utf-8"?>
<sst xmlns="http://schemas.openxmlformats.org/spreadsheetml/2006/main" count="360" uniqueCount="207">
  <si>
    <t>DATA KARYAWAN PT. KRAKATAU TIRTA INDUSTRI</t>
  </si>
  <si>
    <t>Per:</t>
  </si>
  <si>
    <t>NO</t>
  </si>
  <si>
    <t>URUT</t>
  </si>
  <si>
    <t>NIK_KTI</t>
  </si>
  <si>
    <t>NAMA</t>
  </si>
  <si>
    <t>NIK_KS</t>
  </si>
  <si>
    <t>JABATAN</t>
  </si>
  <si>
    <t>DIVISI</t>
  </si>
  <si>
    <t>IWAN SULISTIYO</t>
  </si>
  <si>
    <t>HIKMAH WIDYANTI</t>
  </si>
  <si>
    <t>0010347</t>
  </si>
  <si>
    <t>GUMILAR SUGANDI</t>
  </si>
  <si>
    <t>YUYUN PERMANA</t>
  </si>
  <si>
    <t>EKO PURBA SARRI</t>
  </si>
  <si>
    <t>ARYA PINANDITA</t>
  </si>
  <si>
    <t>TOSHI KURNIANSYAH</t>
  </si>
  <si>
    <t>ADITYA FAJAR RAHAYU</t>
  </si>
  <si>
    <t>BAKHTIAR VANDY RAHMAT</t>
  </si>
  <si>
    <t>GIOVANA ADI WIBOWO</t>
  </si>
  <si>
    <t>ADE BUDI DARMA ADAM</t>
  </si>
  <si>
    <t>NITA ZUHAIRAH</t>
  </si>
  <si>
    <t>RINA AGUSTINA</t>
  </si>
  <si>
    <t>JAJA ISWANDI</t>
  </si>
  <si>
    <t>ADITYA PAMUNGKAS SANDIKA</t>
  </si>
  <si>
    <t>SHEF MUCHAWAN</t>
  </si>
  <si>
    <t>TB. LUQMANSYAH ABDUL AZIS</t>
  </si>
  <si>
    <t>ROSALINA</t>
  </si>
  <si>
    <t>NIA NINFA NOVIA</t>
  </si>
  <si>
    <t>ANGGARIAN ANDISETYA</t>
  </si>
  <si>
    <t>ALPHA GIDEON MARANATAP</t>
  </si>
  <si>
    <t>PARJOKO</t>
  </si>
  <si>
    <t>CLARIAN NAFTA FENAR</t>
  </si>
  <si>
    <t>MOCHAMMAD WAHYUDI</t>
  </si>
  <si>
    <t>RIHADI ACHSANI TAKWIM</t>
  </si>
  <si>
    <t>JUMANI</t>
  </si>
  <si>
    <t>SULAEMAN</t>
  </si>
  <si>
    <t>MUHAMMAD REYHAN HANIF</t>
  </si>
  <si>
    <t>MUFTHI AZIS</t>
  </si>
  <si>
    <t>MOCH RIDZA PAHLEVI</t>
  </si>
  <si>
    <t>AGUS BUDIMAN</t>
  </si>
  <si>
    <t>FAISAL RAMADHAN</t>
  </si>
  <si>
    <t>HENDRA AFRIAN</t>
  </si>
  <si>
    <t>SAEFULDI</t>
  </si>
  <si>
    <t>ADE SAPUTRA</t>
  </si>
  <si>
    <t>HARRY NUGRAHA</t>
  </si>
  <si>
    <t>EDI ROSIDI</t>
  </si>
  <si>
    <t>UMARUDDIN</t>
  </si>
  <si>
    <t>FIRMAN ARIF</t>
  </si>
  <si>
    <t>DEDI EFENDI</t>
  </si>
  <si>
    <t>MAUN ISMAIL</t>
  </si>
  <si>
    <t>AHMAT PRIYANTO</t>
  </si>
  <si>
    <t>ARIFUDIN</t>
  </si>
  <si>
    <t>KHOIRUL AMRI</t>
  </si>
  <si>
    <t>ANA ROKHAYATI</t>
  </si>
  <si>
    <t>RAHAYU APRIYANTI</t>
  </si>
  <si>
    <t>MUHAMMAD SYAIROZY SYAUQI</t>
  </si>
  <si>
    <t>AAM SUDARMAN</t>
  </si>
  <si>
    <t>INDRA KURNIAWAN</t>
  </si>
  <si>
    <t>RIZKI WAHYUDI</t>
  </si>
  <si>
    <t>ADIMAS ABIMANYU</t>
  </si>
  <si>
    <t>MUHAMMAD RAMADHAN</t>
  </si>
  <si>
    <t>YOGIE KURNIA YUSRA</t>
  </si>
  <si>
    <t>ADE RUFIYATNA</t>
  </si>
  <si>
    <t>MUCHAMAD DONY CAHYO ANDRIYANTO</t>
  </si>
  <si>
    <t>GUNAWAN YUDISUSANTO</t>
  </si>
  <si>
    <t>YAYAN SOFIAN</t>
  </si>
  <si>
    <t>SUHANDA</t>
  </si>
  <si>
    <t>HAERUL ARIS</t>
  </si>
  <si>
    <t>DENY NURUL HUDA</t>
  </si>
  <si>
    <t>RAHIMUDIN</t>
  </si>
  <si>
    <t>LUIS MIFTA ROHMAN</t>
  </si>
  <si>
    <t>FATHULLAH</t>
  </si>
  <si>
    <t>DEKI</t>
  </si>
  <si>
    <t>ADE MUSTIAHARJA</t>
  </si>
  <si>
    <t>MULHAT</t>
  </si>
  <si>
    <t>APAN SEPTIAN</t>
  </si>
  <si>
    <t>KHAIRUSSHOLEH</t>
  </si>
  <si>
    <t>RAVIKA HUDA</t>
  </si>
  <si>
    <t>MIA DAMAYANTI</t>
  </si>
  <si>
    <t>MUHAMMAD MUADZ</t>
  </si>
  <si>
    <t>TUBAGUS INDRA PRATAMA</t>
  </si>
  <si>
    <t>AEP SUPRATMAN</t>
  </si>
  <si>
    <t>AKHMAD MUJIB</t>
  </si>
  <si>
    <t>NANA PRIYANA</t>
  </si>
  <si>
    <t>WENDI SUGANDI</t>
  </si>
  <si>
    <t>HIDAYAT JATI ASMARA</t>
  </si>
  <si>
    <t>TOMMI MAULANA</t>
  </si>
  <si>
    <t>FATHONI</t>
  </si>
  <si>
    <t>BIMA SENTOSA</t>
  </si>
  <si>
    <t>MIFTAHURROZAK</t>
  </si>
  <si>
    <t>NANUNG RIFAI</t>
  </si>
  <si>
    <t>SAYUTI</t>
  </si>
  <si>
    <t>DESTA JUANDI</t>
  </si>
  <si>
    <t>ISA RIFAI</t>
  </si>
  <si>
    <t>DANANG SATRIO</t>
  </si>
  <si>
    <t>ABDURRAFI NAJMUDIN</t>
  </si>
  <si>
    <t>ISRONI</t>
  </si>
  <si>
    <t>SURATNO</t>
  </si>
  <si>
    <t>JAHRUDIN</t>
  </si>
  <si>
    <t>ANDI NURDIANDI</t>
  </si>
  <si>
    <t>TIO RIZKY ILYAS</t>
  </si>
  <si>
    <t>FIRMAN OKTAVAN</t>
  </si>
  <si>
    <t>FAHRIZAL MAULANA</t>
  </si>
  <si>
    <t>IBROHIM</t>
  </si>
  <si>
    <t>HAFID PURNOMO</t>
  </si>
  <si>
    <t>HASURI</t>
  </si>
  <si>
    <t>HAFIDZ REZA ASSAGAF</t>
  </si>
  <si>
    <t>RIDWAN IDHARUL HUDA</t>
  </si>
  <si>
    <t>ERWIN FERNANDES</t>
  </si>
  <si>
    <t>IMAM MUTTAQIN</t>
  </si>
  <si>
    <t>USEP SUPRIATNA</t>
  </si>
  <si>
    <t>YOYON SUTRISNO</t>
  </si>
  <si>
    <t>DENI YUNIARDI</t>
  </si>
  <si>
    <t>AGUS MIFTAKH</t>
  </si>
  <si>
    <t>BAMBANG NUGRAHA</t>
  </si>
  <si>
    <t>BAYU DWI SOGARA</t>
  </si>
  <si>
    <t>AHMAD HASAN HUDA</t>
  </si>
  <si>
    <t>RANGGA PRAMANA PUTRA</t>
  </si>
  <si>
    <t>NUNUNG CAHYANTO SETYAWAN</t>
  </si>
  <si>
    <t>ALVIN IMAM RUSHADY</t>
  </si>
  <si>
    <t>ANNISA FITRI NUGRAHENI</t>
  </si>
  <si>
    <t>FAHMI SYAHDANI</t>
  </si>
  <si>
    <t>AGUNG HITA NUGRAHA</t>
  </si>
  <si>
    <t>MUHAMMAD AGUNG ISKANDAR</t>
  </si>
  <si>
    <t>EDWIN GINANJAR SONJAYA</t>
  </si>
  <si>
    <t>EDWIN JUNIAWAN</t>
  </si>
  <si>
    <t>DIVA REFRI RAHMI</t>
  </si>
  <si>
    <t>OKY ADY NUGROHO</t>
  </si>
  <si>
    <t>RIZKI ISKANDARSYAH</t>
  </si>
  <si>
    <t>OKY FREDY</t>
  </si>
  <si>
    <t>MUHAMMAD HASBY RIZKY</t>
  </si>
  <si>
    <t>HAFIZ MARZA</t>
  </si>
  <si>
    <t>MUHAMMAD NASHIR</t>
  </si>
  <si>
    <t>JEFRI SOFYAN</t>
  </si>
  <si>
    <t>M. HAFIDZ FURQON</t>
  </si>
  <si>
    <t>BERRY RACHMAWAN</t>
  </si>
  <si>
    <t>DESTAMA HEROICK UNSELAD NURUL</t>
  </si>
  <si>
    <t>RISKA ANDRIYANI</t>
  </si>
  <si>
    <t>KHUSWATUN KHASANAH FIBRI HADI PUTRI</t>
  </si>
  <si>
    <t>M FACHRUR ROZI</t>
  </si>
  <si>
    <t>HANNA YAUMIL NAZIA</t>
  </si>
  <si>
    <t>RIFQI NUR PRATAMA</t>
  </si>
  <si>
    <t>SONI TOPIQ ROMADHAN</t>
  </si>
  <si>
    <t>VIDIA ANDANARI RAMADHANIAR</t>
  </si>
  <si>
    <t>INDRA PRAMANA DWI PUTRA</t>
  </si>
  <si>
    <t>00011474</t>
  </si>
  <si>
    <t>NADIA RANI PUSPITA</t>
  </si>
  <si>
    <t>RIFKY PRATAMA PUTRA</t>
  </si>
  <si>
    <t>RIZKY PRATAMA YUDHA</t>
  </si>
  <si>
    <t>RIRI NURAFNI</t>
  </si>
  <si>
    <t>AJENG NURVIRDANINGSIH PARTIWI</t>
  </si>
  <si>
    <t>RAYI ELOK INTANIA</t>
  </si>
  <si>
    <t>FANI FITRIAN</t>
  </si>
  <si>
    <t>YOGGI SETIAWAN</t>
  </si>
  <si>
    <t>NEYZARD ALBY FAWWAZY</t>
  </si>
  <si>
    <t>MUHAMAD ALI LUTFI</t>
  </si>
  <si>
    <t>FADLY RASYID</t>
  </si>
  <si>
    <t>HANDRIANSYAH</t>
  </si>
  <si>
    <t>SUATRIL</t>
  </si>
  <si>
    <t>AAT DJAMIATU ROHMAN</t>
  </si>
  <si>
    <t>M. SAIFUDIN</t>
  </si>
  <si>
    <t>TEGUH TRI YULIANTORO</t>
  </si>
  <si>
    <t>KUSEN</t>
  </si>
  <si>
    <t>SAHRULLOH</t>
  </si>
  <si>
    <t>SARMAN</t>
  </si>
  <si>
    <t>YOGA GUSTIMAN NALENDRA</t>
  </si>
  <si>
    <t>ARIF SUBAGJA</t>
  </si>
  <si>
    <t>FENTI HANDAYANI</t>
  </si>
  <si>
    <t>TEGUH JUNANTO</t>
  </si>
  <si>
    <t>ROPAN EFENDI</t>
  </si>
  <si>
    <t>CHARISSA ALIFAH IRNANDA</t>
  </si>
  <si>
    <t>RAISSA KYLA IZZANI PUTRI</t>
  </si>
  <si>
    <t>ANUGRAH JALU PERDANA</t>
  </si>
  <si>
    <t>SEKARTINI DWI ANDITA</t>
  </si>
  <si>
    <t>WAHYU MAHARDIAN</t>
  </si>
  <si>
    <t>SUKIDI</t>
  </si>
  <si>
    <t>RETNO UTAMI</t>
  </si>
  <si>
    <t>ANNISA NURUL</t>
  </si>
  <si>
    <t>TAUFIK RACHMAT GUMILANG</t>
  </si>
  <si>
    <t>AKBAR AGUS DWI PUTRANTO</t>
  </si>
  <si>
    <t>MUHAMMAD FIQIH HIKMAWAN</t>
  </si>
  <si>
    <t>TAUFIQ AKBAR PERDHANA</t>
  </si>
  <si>
    <t>MOCHAMAD NIGEL ALDAKINA</t>
  </si>
  <si>
    <t>IHSAN MAULANA</t>
  </si>
  <si>
    <t>ROBI ANGGARA</t>
  </si>
  <si>
    <t>APRIANI ACHMAD TAHIR</t>
  </si>
  <si>
    <t>UMAR SIDIK</t>
  </si>
  <si>
    <t>Rd. RORO WIWIN WIDYAWATI</t>
  </si>
  <si>
    <t>WILDAN MUHAMMAD BALBEID</t>
  </si>
  <si>
    <t>RIKO MOCHAMAD PRIATNA</t>
  </si>
  <si>
    <t>Sekretaris Perusahaan</t>
  </si>
  <si>
    <t>Satuan Pengawas Intern</t>
  </si>
  <si>
    <t>Produksi I</t>
  </si>
  <si>
    <t>Distribusi &amp; Perencanaan Teknik</t>
  </si>
  <si>
    <t>Pusat Perawatan &amp; HSE</t>
  </si>
  <si>
    <t>Sistem Informasi &amp; Manajemen Kinerja</t>
  </si>
  <si>
    <t>Produksi II</t>
  </si>
  <si>
    <t>Manajemen Konstruksi</t>
  </si>
  <si>
    <t>Keuangan</t>
  </si>
  <si>
    <t>HC &amp; Umum</t>
  </si>
  <si>
    <t>Keamanan</t>
  </si>
  <si>
    <t>VP Pengembangan Usaha</t>
  </si>
  <si>
    <t>Perencanaan Korporat</t>
  </si>
  <si>
    <t>Pengembangan Usaha</t>
  </si>
  <si>
    <t>Komersial</t>
  </si>
  <si>
    <t>Legal, Kepatuhan, dan Manajemen Risiko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</si>
</sst>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1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4" xfId="0" quotePrefix="1" applyFont="1" applyBorder="1" applyAlignment="1">
      <alignment horizontal="center"/>
    </xf>
    <xf numFmtId="0" fontId="7" fillId="0" borderId="4" xfId="1" applyFont="1" applyBorder="1" applyAlignment="1">
      <alignment vertical="center"/>
    </xf>
    <xf numFmtId="0" fontId="7" fillId="0" borderId="4" xfId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0" borderId="7" xfId="0" applyFont="1" applyBorder="1"/>
    <xf numFmtId="0" fontId="2" fillId="0" borderId="4" xfId="0" quotePrefix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shrinkToFit="1"/>
    </xf>
    <xf numFmtId="0" fontId="2" fillId="0" borderId="4" xfId="0" quotePrefix="1" applyFont="1" applyBorder="1" applyAlignment="1">
      <alignment horizontal="left"/>
    </xf>
    <xf numFmtId="0" fontId="2" fillId="0" borderId="4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/>
    <xf numFmtId="0" fontId="2" fillId="0" borderId="9" xfId="0" applyFont="1" applyBorder="1"/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center" vertical="center"/>
    </xf>
    <xf numFmtId="0" fontId="2" fillId="4" borderId="4" xfId="0" quotePrefix="1" applyFont="1" applyFill="1" applyBorder="1" applyAlignment="1">
      <alignment horizontal="center"/>
    </xf>
    <xf numFmtId="0" fontId="7" fillId="4" borderId="4" xfId="1" applyFont="1" applyFill="1" applyBorder="1" applyAlignment="1">
      <alignment vertical="center"/>
    </xf>
    <xf numFmtId="0" fontId="7" fillId="4" borderId="4" xfId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6" xfId="0" applyFont="1" applyFill="1" applyBorder="1" applyAlignment="1">
      <alignment horizontal="center" vertical="center"/>
    </xf>
  </cellXfs>
  <cellStyles count="4">
    <cellStyle name="Normal" xfId="0" builtinId="0"/>
    <cellStyle name="Normal 11" xfId="1" xr:uid="{4E2AE136-CAB4-46C3-927B-56A29DB04E15}"/>
    <cellStyle name="Normal 2 2" xfId="2" xr:uid="{2FE50D62-2FA5-4645-BFB5-CEC53813DB86}"/>
    <cellStyle name="Normal 6 6" xfId="3" xr:uid="{DDF6B2AB-FD84-4658-B675-CE2AD0988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33617</xdr:rowOff>
    </xdr:from>
    <xdr:to>
      <xdr:col>3</xdr:col>
      <xdr:colOff>441658</xdr:colOff>
      <xdr:row>2</xdr:row>
      <xdr:rowOff>137891</xdr:rowOff>
    </xdr:to>
    <xdr:pic>
      <xdr:nvPicPr>
        <xdr:cNvPr id="2" name="Picture 1" descr="Full Color - Primary Logo-01 (2).png">
          <a:extLst>
            <a:ext uri="{FF2B5EF4-FFF2-40B4-BE49-F238E27FC236}">
              <a16:creationId xmlns:a16="http://schemas.microsoft.com/office/drawing/2014/main" id="{73196F27-0DF1-4413-8256-32BE2A0B8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2934" t="33342" r="3582" b="33168"/>
        <a:stretch>
          <a:fillRect/>
        </a:stretch>
      </xdr:blipFill>
      <xdr:spPr>
        <a:xfrm>
          <a:off x="205068" y="33617"/>
          <a:ext cx="1998715" cy="5043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c2\Documents\My%20Documents\DATA%20&amp;%20REKAP%20KARYAW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kti_perso3\sdm&amp;diklat\SDM\DATA%20&amp;%20REKAP%20KARYAW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so2\a\data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c2\Documents\10900&#51060;&#50864;&#49457;\&#51228;&#52636;NonBio(4&#5050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c2\Documents\USER\&#44256;&#46020;&#52376;&#47532;\&#49340;&#47168;&#50857;&#4704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c2\Documents\cws\report\&#51452;&#47928;&#50857;&#4704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c2\Documents\&#51333;&#50864;\&#54252;&#54637;\&#49892;&#49884;&#49444;&#44228;\&#49892;&#49884;&#49444;&#44228;%20&#48372;&#44256;&#49436;\&#47932;&#51656;&#49688;&#51648;\&#54620;&#44544;\&#55141;&#54644;&#54616;&#49688;\&#50857;&#47049;&#44228;&#49328;&#49436;\maxda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c2\Documents\10858\&#51088;&#47308;\My%20Documents\ETC\SM&#45812;&#52404;&#54616;&#496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c2\Documents\KADIS%20%20PPHC%20(E)\AKTIFITAS\PERENCANAAN%20SDM\ANALISA%20HC%20TAHUN%202017\KADIS%20PPO\TAHUN%202015\PROMOSI%20&amp;%20MUTASI\PROMOSI%20KADIS%20KEBAWAH%20(Nop%202014)\Maning%20Table%20(201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c2\Documents\&#48149;&#53468;&#44508;\&#44204;&#51201;&#51228;&#52636;\POSEC\&#50629;&#52404;&#46321;&#47197;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rakatautirta-my.sharepoint.com/personal/rayi_elok_krakatautirta_co_id/Documents/Maning%20table/2026/04.%20Maning%20Table%20(30-04-2026).xlsx" TargetMode="External"/><Relationship Id="rId1" Type="http://schemas.openxmlformats.org/officeDocument/2006/relationships/externalLinkPath" Target="https://krakatautirta-my.sharepoint.com/personal/rayi_elok_krakatautirta_co_id/Documents/Maning%20table/2026/04.%20Maning%20Table%20(30-04-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ASLI"/>
      <sheetName val="DATA KARY"/>
      <sheetName val="Man Power"/>
      <sheetName val="Rekap Divisi"/>
      <sheetName val="Pendidikan"/>
      <sheetName val="Usia"/>
      <sheetName val="Agama"/>
      <sheetName val="Daerah"/>
      <sheetName val="Rencana Man Power"/>
      <sheetName val="Rencana Man Power (2)"/>
      <sheetName val="Rencana Naker"/>
      <sheetName val="Penghasilan"/>
      <sheetName val="Perbantuan"/>
      <sheetName val="MPP &amp; Pensiun"/>
      <sheetName val="Rekap MPP &amp; Pensi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ANDA TERIMA"/>
      <sheetName val="MASTER ASLI"/>
      <sheetName val="DATA KARY"/>
      <sheetName val="Perdivisi"/>
      <sheetName val="Man Power"/>
      <sheetName val="Rekap Divisi"/>
      <sheetName val="Pendidikan"/>
      <sheetName val="Usia"/>
      <sheetName val="Prognosa Usia"/>
      <sheetName val="Agama"/>
      <sheetName val="Daerah"/>
      <sheetName val="Rencana Man Power"/>
      <sheetName val="Rencana Man Power (2)"/>
      <sheetName val="Penghasilan"/>
      <sheetName val="Perbantuan"/>
      <sheetName val="Kary. Perbantuan"/>
      <sheetName val="Perdivisi Print"/>
      <sheetName val="Sheet3"/>
      <sheetName val="Master"/>
      <sheetName val="DATA KARY  &gt;15 Th Masa kerja"/>
      <sheetName val="DATA KARY 31 Okt 2006"/>
      <sheetName val="DATA KARY "/>
      <sheetName val="Kary. 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</sheetNames>
    <sheetDataSet>
      <sheetData sheetId="0" refreshError="1"/>
      <sheetData sheetId="1">
        <row r="6">
          <cell r="E6">
            <v>2</v>
          </cell>
        </row>
        <row r="7">
          <cell r="E7">
            <v>20</v>
          </cell>
        </row>
        <row r="8">
          <cell r="E8">
            <v>10</v>
          </cell>
        </row>
        <row r="9">
          <cell r="E9">
            <v>138</v>
          </cell>
        </row>
        <row r="10">
          <cell r="E10">
            <v>9</v>
          </cell>
        </row>
        <row r="11">
          <cell r="E11">
            <v>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virus"/>
      <sheetName val="알카리니티"/>
      <sheetName val="표지"/>
      <sheetName val="광양 3기 유입수"/>
      <sheetName val="광양 3기"/>
      <sheetName val="3기 mass"/>
      <sheetName val="4기 유입수"/>
      <sheetName val="광양 4기 "/>
      <sheetName val="4기 mass"/>
      <sheetName val="질산화율 계산"/>
      <sheetName val="계산(1.9만톤)"/>
      <sheetName val="계산(3.1만톤)"/>
      <sheetName val="물질수지(9℃)"/>
      <sheetName val="규격"/>
    </sheetNames>
    <sheetDataSet>
      <sheetData sheetId="0"/>
      <sheetData sheetId="1"/>
      <sheetData sheetId="2"/>
      <sheetData sheetId="3"/>
      <sheetData sheetId="4" refreshError="1">
        <row r="18">
          <cell r="D18" t="str">
            <v>BOD</v>
          </cell>
          <cell r="L18">
            <v>1000</v>
          </cell>
          <cell r="W18">
            <v>75.999999999999957</v>
          </cell>
        </row>
        <row r="19">
          <cell r="L19">
            <v>1200</v>
          </cell>
          <cell r="W19">
            <v>171.00000000000003</v>
          </cell>
        </row>
        <row r="21">
          <cell r="L21">
            <v>200</v>
          </cell>
          <cell r="W21">
            <v>19.864054054054055</v>
          </cell>
        </row>
        <row r="22">
          <cell r="L22">
            <v>11.000000000000002</v>
          </cell>
          <cell r="W22">
            <v>3.6575000000000002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-DATA"/>
      <sheetName val="용량계산"/>
      <sheetName val="Module1"/>
      <sheetName val="물질수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-DATA"/>
      <sheetName val="용량계산 (2)"/>
      <sheetName val="용량계산"/>
      <sheetName val="물질수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개 요"/>
      <sheetName val="계산근거"/>
      <sheetName val="물질수지"/>
      <sheetName val="수질부하"/>
      <sheetName val="침사지"/>
      <sheetName val="포기조"/>
      <sheetName val="2차침전지"/>
      <sheetName val="사여과기"/>
      <sheetName val="UV소독조"/>
      <sheetName val="농축기"/>
      <sheetName val="탈수기"/>
      <sheetName val="Data"/>
    </sheetNames>
    <sheetDataSet>
      <sheetData sheetId="0" refreshError="1"/>
      <sheetData sheetId="1" refreshError="1"/>
      <sheetData sheetId="2" refreshError="1">
        <row r="12">
          <cell r="C12" t="str">
            <v>(m3/d)</v>
          </cell>
          <cell r="D12">
            <v>25000</v>
          </cell>
        </row>
        <row r="14">
          <cell r="D14">
            <v>140</v>
          </cell>
        </row>
        <row r="15">
          <cell r="D15">
            <v>115</v>
          </cell>
          <cell r="E15">
            <v>125.38376758274782</v>
          </cell>
          <cell r="F15">
            <v>15</v>
          </cell>
        </row>
        <row r="16">
          <cell r="D16">
            <v>153</v>
          </cell>
          <cell r="E16">
            <v>168.40294884453414</v>
          </cell>
          <cell r="F16">
            <v>10</v>
          </cell>
        </row>
        <row r="17">
          <cell r="D17">
            <v>91.8</v>
          </cell>
        </row>
        <row r="18">
          <cell r="D18">
            <v>28</v>
          </cell>
          <cell r="E18">
            <v>29.491454541185789</v>
          </cell>
          <cell r="F18">
            <v>15</v>
          </cell>
        </row>
        <row r="19">
          <cell r="D19">
            <v>16.8</v>
          </cell>
        </row>
        <row r="20">
          <cell r="D20">
            <v>6.2</v>
          </cell>
          <cell r="E20">
            <v>6.6004955583731117</v>
          </cell>
          <cell r="F20">
            <v>2</v>
          </cell>
        </row>
        <row r="21">
          <cell r="D21">
            <v>120</v>
          </cell>
        </row>
        <row r="33">
          <cell r="G33">
            <v>5875</v>
          </cell>
        </row>
        <row r="35">
          <cell r="G35">
            <v>9000</v>
          </cell>
        </row>
        <row r="76">
          <cell r="E76">
            <v>2.7389976358564523</v>
          </cell>
        </row>
        <row r="129">
          <cell r="E129">
            <v>1.5</v>
          </cell>
        </row>
        <row r="142">
          <cell r="E142">
            <v>2.2455246256712025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 요"/>
      <sheetName val="계산근거"/>
      <sheetName val="물질수지"/>
      <sheetName val="수질부하"/>
      <sheetName val="침사지"/>
      <sheetName val="1차침전지"/>
      <sheetName val="포기조"/>
      <sheetName val="2차침전지"/>
      <sheetName val="사여과기"/>
      <sheetName val="UV소독조"/>
      <sheetName val="농축조"/>
      <sheetName val="탈수기"/>
      <sheetName val="Data"/>
      <sheetName val="Sheet1"/>
      <sheetName val="Sheet15"/>
      <sheetName val="입찰안"/>
    </sheetNames>
    <sheetDataSet>
      <sheetData sheetId="0" refreshError="1"/>
      <sheetData sheetId="1" refreshError="1">
        <row r="12">
          <cell r="E12">
            <v>35000</v>
          </cell>
        </row>
        <row r="14">
          <cell r="E14">
            <v>118.99999999999999</v>
          </cell>
        </row>
        <row r="15">
          <cell r="E15">
            <v>100.1</v>
          </cell>
        </row>
        <row r="16">
          <cell r="E16">
            <v>91.5</v>
          </cell>
        </row>
        <row r="17">
          <cell r="E17" t="str">
            <v xml:space="preserve"> </v>
          </cell>
        </row>
        <row r="18">
          <cell r="E18">
            <v>32.4</v>
          </cell>
        </row>
        <row r="19">
          <cell r="C19" t="str">
            <v>(mg/L)</v>
          </cell>
          <cell r="D19">
            <v>30</v>
          </cell>
          <cell r="E19">
            <v>30</v>
          </cell>
          <cell r="F19">
            <v>2</v>
          </cell>
          <cell r="G19">
            <v>0.93333333333333335</v>
          </cell>
        </row>
        <row r="20">
          <cell r="E20">
            <v>5.95</v>
          </cell>
        </row>
        <row r="21">
          <cell r="E21">
            <v>150</v>
          </cell>
        </row>
        <row r="44">
          <cell r="E44">
            <v>0.4</v>
          </cell>
        </row>
        <row r="45">
          <cell r="E45">
            <v>1.4</v>
          </cell>
        </row>
        <row r="53">
          <cell r="C53">
            <v>13</v>
          </cell>
        </row>
        <row r="54">
          <cell r="C54">
            <v>7.2</v>
          </cell>
        </row>
        <row r="59">
          <cell r="E59">
            <v>0.47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Kary"/>
      <sheetName val="Maning Table"/>
      <sheetName val="Man Power"/>
      <sheetName val="Jabatan Kosong"/>
      <sheetName val="PENSIUN KARYAWAN"/>
      <sheetName val="Nama Jabatan"/>
      <sheetName val="Maning Table (Salah data lama)"/>
      <sheetName val="Sort Pddk Kary"/>
      <sheetName val="Rekap Pddk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XXXXXXXXXX"/>
      <sheetName val="choose"/>
      <sheetName val="초기화면"/>
      <sheetName val="표지"/>
      <sheetName val="추천서"/>
      <sheetName val="※ 제출서류목록"/>
      <sheetName val="1. 기본현황"/>
      <sheetName val="2. 주요연혁"/>
      <sheetName val="3. 재무현황"/>
      <sheetName val="4. 설계능력"/>
      <sheetName val="5. 기술자격 보유현황"/>
      <sheetName val="6. 제작설비 보유현황"/>
      <sheetName val="7. 작업장 및 도장장 현황"/>
      <sheetName val="8. 규격 및 기술보유현황"/>
      <sheetName val="9. 품질관리현황"/>
      <sheetName val="10. POSEC 납품실적"/>
      <sheetName val="11. 기타업체 납품실적"/>
      <sheetName val="12. 기구 조직도"/>
      <sheetName val="13. 회사 소개"/>
      <sheetName val="14. 회사 약도"/>
      <sheetName val="※ 제출서류목록(대리점)"/>
      <sheetName val="1. 기본현황(대리점)"/>
      <sheetName val="2. 주요연혁(대리점)"/>
      <sheetName val="3. 재무현황(대리점)"/>
      <sheetName val="4. 기술자격 보유현황(대리점)"/>
      <sheetName val="5. 작업장 및 도장장 현황(대리점)"/>
      <sheetName val="6. POSEC 납품실적(대리점)"/>
      <sheetName val="7. 기타업체 납품실적(대리점)"/>
      <sheetName val="8. 기구 조직도(대리점)"/>
      <sheetName val="9. 회사 약도(대리점)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 Manning Table"/>
      <sheetName val="02. Data Karyawan"/>
      <sheetName val="02. Data Karyawan (2)"/>
      <sheetName val="03. Pemenuhan Organisasi"/>
      <sheetName val="04. Pensiun Karyawan"/>
      <sheetName val="Data Kary per 01 Juli 2018"/>
      <sheetName val="Sheet3"/>
      <sheetName val="05. Posisi Kosong"/>
      <sheetName val="Tren Karyawan"/>
      <sheetName val="Cost Center"/>
      <sheetName val="Sheet1"/>
    </sheetNames>
    <sheetDataSet>
      <sheetData sheetId="0">
        <row r="8">
          <cell r="C8" t="str">
            <v xml:space="preserve">Staf Ahli Utama Direktur Utama </v>
          </cell>
        </row>
        <row r="9">
          <cell r="C9" t="str">
            <v xml:space="preserve">Staf Ahli Utama Direktur Utama </v>
          </cell>
        </row>
        <row r="10">
          <cell r="C10" t="str">
            <v xml:space="preserve">Staf Ahli Utama Direktur Utama </v>
          </cell>
        </row>
        <row r="11">
          <cell r="C11" t="str">
            <v xml:space="preserve">Staf Ahli Utama Direktur Utama </v>
          </cell>
        </row>
        <row r="12">
          <cell r="C12" t="str">
            <v xml:space="preserve">Staf Ahli Utama Direktur Utama </v>
          </cell>
        </row>
        <row r="18">
          <cell r="C18" t="str">
            <v>Staf AM Direktur PU &amp; Komersial</v>
          </cell>
        </row>
        <row r="19">
          <cell r="C19" t="str">
            <v>Staf AM Direktur PU &amp; Komersial</v>
          </cell>
        </row>
        <row r="20">
          <cell r="C20" t="str">
            <v>Staf AM Direktur PU &amp; Komersial</v>
          </cell>
        </row>
        <row r="21">
          <cell r="C21" t="str">
            <v>Staf AP Direktur PU&amp; Komersial</v>
          </cell>
        </row>
        <row r="22">
          <cell r="C22" t="str">
            <v>Staf AP Direktur PU&amp; Komersial</v>
          </cell>
        </row>
        <row r="26">
          <cell r="B26" t="str">
            <v>Kepala Satuan Pengawas Internal</v>
          </cell>
        </row>
        <row r="29">
          <cell r="C29" t="str">
            <v>AP Group Pemeriksa</v>
          </cell>
        </row>
        <row r="30">
          <cell r="C30" t="str">
            <v>AP Group Pemeriksa</v>
          </cell>
        </row>
        <row r="35">
          <cell r="B35" t="str">
            <v>Sekretaris Perusahaan</v>
          </cell>
        </row>
        <row r="37">
          <cell r="C37" t="str">
            <v>AM Group Corporate Affair</v>
          </cell>
        </row>
        <row r="39">
          <cell r="C39" t="str">
            <v>AP Group Corporate Affair</v>
          </cell>
        </row>
        <row r="42">
          <cell r="C42" t="str">
            <v>AM Group Corporate Community Development</v>
          </cell>
        </row>
        <row r="44">
          <cell r="C44" t="str">
            <v>Analis Group Corporate Community Development</v>
          </cell>
        </row>
        <row r="50">
          <cell r="B50" t="str">
            <v>Kepala Divisi Legal, Kepatuhan, dan Manajemen Risiko</v>
          </cell>
        </row>
        <row r="52">
          <cell r="C52" t="str">
            <v>Ahli Madya Group Legal</v>
          </cell>
        </row>
        <row r="56">
          <cell r="C56" t="str">
            <v>Ahli Pertama Group Kepatuhan, Tata Kelola, dan Manajemen Risiko</v>
          </cell>
        </row>
        <row r="63">
          <cell r="B63" t="str">
            <v>Kepala Divisi Produksi I</v>
          </cell>
        </row>
        <row r="65">
          <cell r="C65" t="str">
            <v>Kepala Dinas Air Baku</v>
          </cell>
        </row>
        <row r="67">
          <cell r="C67" t="str">
            <v>Teknisi Transmisi Air Baku</v>
          </cell>
        </row>
        <row r="68">
          <cell r="C68" t="str">
            <v>Teknisi Intake Air Baku &amp; Bendung</v>
          </cell>
        </row>
        <row r="70">
          <cell r="C70" t="str">
            <v>Teknisi Konservasi &amp; DAS</v>
          </cell>
        </row>
        <row r="71">
          <cell r="C71" t="str">
            <v>Teknisi Bendungan</v>
          </cell>
        </row>
        <row r="72">
          <cell r="C72" t="str">
            <v>Petugas Group Air Baku</v>
          </cell>
        </row>
        <row r="73">
          <cell r="C73" t="str">
            <v>Petugas Group Air Baku</v>
          </cell>
        </row>
        <row r="76">
          <cell r="C76" t="str">
            <v>Kepala Dinas Pengolahan Air Krenceng</v>
          </cell>
        </row>
        <row r="77">
          <cell r="C77" t="str">
            <v>Petugas Group Pengolahan Air Krenceng</v>
          </cell>
        </row>
        <row r="79">
          <cell r="C79" t="str">
            <v>Petugas Group Pengolahan Air Krenceng</v>
          </cell>
        </row>
        <row r="80">
          <cell r="C80" t="str">
            <v>Kepala Seksi Operasi WTP Krenceng</v>
          </cell>
        </row>
        <row r="81">
          <cell r="C81" t="str">
            <v>Kepala Seksi Operasi WTP Krenceng</v>
          </cell>
        </row>
        <row r="82">
          <cell r="C82" t="str">
            <v>Kepala Seksi Operasi WTP Krenceng</v>
          </cell>
        </row>
        <row r="83">
          <cell r="C83" t="str">
            <v>Kepala Seksi Operasi WTP Krenceng</v>
          </cell>
        </row>
        <row r="85">
          <cell r="C85" t="str">
            <v>Teknisi Operasi WTP Krenceng</v>
          </cell>
        </row>
        <row r="86">
          <cell r="C86" t="str">
            <v>Teknisi Operasi WTP Krenceng</v>
          </cell>
        </row>
        <row r="87">
          <cell r="C87" t="str">
            <v>Teknisi Operasi WTP Krenceng</v>
          </cell>
        </row>
        <row r="88">
          <cell r="C88" t="str">
            <v>Petugas Operasi WTP Krenceng</v>
          </cell>
        </row>
        <row r="89">
          <cell r="C89" t="str">
            <v>Petugas Operasi WTP Krenceng</v>
          </cell>
        </row>
        <row r="90">
          <cell r="C90" t="str">
            <v>Petugas Operasi WTP Krenceng</v>
          </cell>
        </row>
        <row r="91">
          <cell r="C91" t="str">
            <v>Petugas Operasi WTP Krenceng</v>
          </cell>
        </row>
        <row r="98">
          <cell r="C98" t="str">
            <v>Kepala Dinas Proses &amp; Quality Control</v>
          </cell>
        </row>
        <row r="100">
          <cell r="C100" t="str">
            <v xml:space="preserve">Teknisi Group Proses </v>
          </cell>
        </row>
        <row r="101">
          <cell r="C101" t="str">
            <v>AP Group Quality Control</v>
          </cell>
        </row>
        <row r="102">
          <cell r="C102" t="str">
            <v xml:space="preserve">Analis Group Quality Control </v>
          </cell>
        </row>
        <row r="103">
          <cell r="C103" t="str">
            <v xml:space="preserve">Petugas Group Quality Control </v>
          </cell>
        </row>
        <row r="104">
          <cell r="C104" t="str">
            <v xml:space="preserve">Petugas Group Quality Control </v>
          </cell>
        </row>
        <row r="107">
          <cell r="C107" t="str">
            <v>Kepala Dinas Pengolahan Air Cipasauran  &amp; Cidanau</v>
          </cell>
        </row>
        <row r="108">
          <cell r="C108" t="str">
            <v xml:space="preserve">Petugas Group Pengolahan Air Cipasauran &amp; Cidanau </v>
          </cell>
        </row>
        <row r="109">
          <cell r="C109" t="str">
            <v>Kepala Seksi Operasi WTP Cipasauran &amp; Cidanau</v>
          </cell>
        </row>
        <row r="110">
          <cell r="C110" t="str">
            <v>Kepala Seksi Operasi WTP Cipasauran &amp; Cidanau</v>
          </cell>
        </row>
        <row r="111">
          <cell r="C111" t="str">
            <v>Kepala Seksi Operasi WTP Cipasauran &amp; Cidanau</v>
          </cell>
        </row>
        <row r="112">
          <cell r="C112" t="str">
            <v>Kepala Seksi Operasi WTP Cipasauran &amp; Cidanau</v>
          </cell>
        </row>
        <row r="113">
          <cell r="C113" t="str">
            <v>Teknisi Operasi WTP Cipasauran &amp; Cidanau</v>
          </cell>
        </row>
        <row r="114">
          <cell r="C114" t="str">
            <v>Teknisi Operasi WTP Cipasauran &amp; Cidanau</v>
          </cell>
        </row>
        <row r="115">
          <cell r="C115" t="str">
            <v>Teknisi Operasi WTP Cipasauran &amp; Cidanau</v>
          </cell>
        </row>
        <row r="117">
          <cell r="C117" t="str">
            <v>Petugas Operasi WTP Cipasauran &amp; Cidanau</v>
          </cell>
        </row>
        <row r="118">
          <cell r="C118" t="str">
            <v>Petugas Operasi WTP Cipasauran &amp; Cidanau</v>
          </cell>
        </row>
        <row r="119">
          <cell r="C119" t="str">
            <v>Petugas Operasi WTP Cipasauran &amp; Cidanau</v>
          </cell>
        </row>
        <row r="120">
          <cell r="C120" t="str">
            <v>Petugas Operasi WTP Cipasauran &amp; Cidanau</v>
          </cell>
        </row>
        <row r="126">
          <cell r="B126" t="str">
            <v>Kepala Divisi Distribusi &amp; Perencanaan Teknik</v>
          </cell>
        </row>
        <row r="128">
          <cell r="C128" t="str">
            <v>Kepala Dinas Distribusi &amp; Pelayanan Pelanggan</v>
          </cell>
        </row>
        <row r="130">
          <cell r="C130" t="str">
            <v>Teknisi Group Perpipaan &amp; Proteksi Katodik</v>
          </cell>
        </row>
        <row r="131">
          <cell r="C131" t="str">
            <v>Petugas Group Perpipaan &amp; Proteksi Katodik</v>
          </cell>
        </row>
        <row r="132">
          <cell r="C132" t="str">
            <v>Petugas Group Perpipaan &amp; Proteksi Katodik</v>
          </cell>
        </row>
        <row r="134">
          <cell r="C134" t="str">
            <v>Petugas Group GIS</v>
          </cell>
        </row>
        <row r="135">
          <cell r="C135" t="str">
            <v>Kepala Seksi Pelayanan Pelanggan</v>
          </cell>
        </row>
        <row r="136">
          <cell r="C136" t="str">
            <v>Officer Pelayanan Pelanggan</v>
          </cell>
        </row>
        <row r="137">
          <cell r="C137" t="str">
            <v>Petugas Pelayanan Pelanggan</v>
          </cell>
        </row>
        <row r="139">
          <cell r="C139" t="str">
            <v>Petugas Pengolahan Data</v>
          </cell>
        </row>
        <row r="140">
          <cell r="C140" t="str">
            <v>Teknisi Group Meter Air</v>
          </cell>
        </row>
        <row r="141">
          <cell r="C141" t="str">
            <v>Petugas Group Meter Air</v>
          </cell>
        </row>
        <row r="145">
          <cell r="C145" t="str">
            <v>Kepala Dinas Perencanaan Barang &amp; Jasa</v>
          </cell>
        </row>
        <row r="146">
          <cell r="C146" t="str">
            <v>AP Group Perencanaan Mekanik, Elektrikal, &amp; Instrumen</v>
          </cell>
        </row>
        <row r="149">
          <cell r="C149" t="str">
            <v>Teknisi Group Perencanaan Sipil &amp; Perpipaan</v>
          </cell>
        </row>
        <row r="151">
          <cell r="C151" t="str">
            <v>AP Group Cost Estimator Jasa</v>
          </cell>
        </row>
        <row r="153">
          <cell r="C153" t="str">
            <v>AP Group Cost Estimator Barang</v>
          </cell>
        </row>
        <row r="154">
          <cell r="C154" t="str">
            <v>Petugas Group Cost Estimator Barang</v>
          </cell>
        </row>
        <row r="157">
          <cell r="C157" t="str">
            <v>Kepala Dinas Pergudangan &amp; Pengendalian Barang</v>
          </cell>
        </row>
        <row r="158">
          <cell r="C158" t="str">
            <v>Teknisi Group Pergudangan &amp; Pengendalian Barang</v>
          </cell>
        </row>
        <row r="159">
          <cell r="C159" t="str">
            <v>Teknisi Group Pergudangan &amp; Pengendalian Barang</v>
          </cell>
        </row>
        <row r="165">
          <cell r="B165" t="str">
            <v>Kepala Divisi Pusat Perawatan &amp; HSE</v>
          </cell>
        </row>
        <row r="167">
          <cell r="C167" t="str">
            <v>Kepala Dinas Pusat Perawatan</v>
          </cell>
        </row>
        <row r="168">
          <cell r="C168" t="str">
            <v>AP Group Mekanik</v>
          </cell>
        </row>
        <row r="169">
          <cell r="C169" t="str">
            <v>Teknisi Group Mekanik</v>
          </cell>
        </row>
        <row r="170">
          <cell r="C170" t="str">
            <v>Teknisi Group Mekanik</v>
          </cell>
        </row>
        <row r="171">
          <cell r="C171" t="str">
            <v>Petugas Group Mekanik</v>
          </cell>
        </row>
        <row r="172">
          <cell r="C172" t="str">
            <v>AP Group Elektrik</v>
          </cell>
        </row>
        <row r="173">
          <cell r="C173" t="str">
            <v>Petugas Group Elektrik</v>
          </cell>
        </row>
        <row r="174">
          <cell r="C174" t="str">
            <v>Petugas Group Elektrik</v>
          </cell>
        </row>
        <row r="175">
          <cell r="C175" t="str">
            <v>Petugas Group Elektrik</v>
          </cell>
        </row>
        <row r="176">
          <cell r="C176" t="str">
            <v>AP Group Sipil &amp; Lingkungan</v>
          </cell>
        </row>
        <row r="177">
          <cell r="C177" t="str">
            <v xml:space="preserve">Petugas Group Sipil &amp; Lingkungan </v>
          </cell>
        </row>
        <row r="178">
          <cell r="C178" t="str">
            <v xml:space="preserve">Petugas Group Sipil &amp; Lingkungan </v>
          </cell>
        </row>
        <row r="179">
          <cell r="C179" t="str">
            <v>AP Group Otomasi</v>
          </cell>
        </row>
        <row r="180">
          <cell r="C180" t="str">
            <v xml:space="preserve">Petugas Group Otomasi  </v>
          </cell>
        </row>
        <row r="181">
          <cell r="C181" t="str">
            <v xml:space="preserve">Petugas Group Otomasi  </v>
          </cell>
        </row>
        <row r="184">
          <cell r="C184" t="str">
            <v>AP Group Perencanaan &amp; Pengendalian Perawatan</v>
          </cell>
        </row>
        <row r="185">
          <cell r="C185" t="str">
            <v>Teknisi Group Perencanaan &amp; Pengendalian Perawatan</v>
          </cell>
        </row>
        <row r="188">
          <cell r="C188" t="str">
            <v>Kepala Dinas Inspeksi &amp; Supervisi</v>
          </cell>
        </row>
        <row r="189">
          <cell r="C189" t="str">
            <v>AP Group Inspeksi</v>
          </cell>
        </row>
        <row r="190">
          <cell r="C190" t="str">
            <v>Petugas Group Inspeksi</v>
          </cell>
        </row>
        <row r="191">
          <cell r="C191" t="str">
            <v>AP Group Supervisi Mekanikal, Elektrik &amp; Instrumen</v>
          </cell>
        </row>
        <row r="192">
          <cell r="C192" t="str">
            <v>Teknisi Group Supervisi Mekanikal, Elektrik &amp; Instrumen</v>
          </cell>
        </row>
        <row r="193">
          <cell r="C193" t="str">
            <v>AP Group Supervisi Sipil &amp; Perpipaan</v>
          </cell>
        </row>
        <row r="195">
          <cell r="C195" t="str">
            <v xml:space="preserve">Petugas Group Supervisi Sipil &amp; Perpipaan </v>
          </cell>
        </row>
        <row r="198">
          <cell r="C198" t="str">
            <v>Kepala Dinas HSE</v>
          </cell>
        </row>
        <row r="199">
          <cell r="C199" t="str">
            <v>AP Group HSE</v>
          </cell>
        </row>
        <row r="200">
          <cell r="C200" t="str">
            <v>Teknisi Group HSE</v>
          </cell>
        </row>
        <row r="207">
          <cell r="B207" t="str">
            <v>Kepala Divisi Sistem Informasi &amp; Manajemen Kinerja</v>
          </cell>
        </row>
        <row r="209">
          <cell r="C209" t="str">
            <v>Kepala Dinas Teknologi Informasi</v>
          </cell>
        </row>
        <row r="210">
          <cell r="C210" t="str">
            <v xml:space="preserve">AP Group Perencanaan &amp; Pengembangan TI </v>
          </cell>
        </row>
        <row r="211">
          <cell r="C211" t="str">
            <v xml:space="preserve">Analis Group Perencanaan &amp; Pengembangan TI </v>
          </cell>
        </row>
        <row r="212">
          <cell r="C212" t="str">
            <v xml:space="preserve">AP Group Operasi &amp; Layanan TI </v>
          </cell>
        </row>
        <row r="216">
          <cell r="C216" t="str">
            <v>AM Group Digital Information Center</v>
          </cell>
        </row>
        <row r="221">
          <cell r="C221" t="str">
            <v xml:space="preserve">AP Group Manajemen Kinerja, Mutu &amp; Sisdur </v>
          </cell>
        </row>
        <row r="222">
          <cell r="C222" t="str">
            <v xml:space="preserve">Petugas Group Manajemen Kinerja, Mutu &amp; Sisdur </v>
          </cell>
        </row>
        <row r="228">
          <cell r="B228" t="str">
            <v>Kepala Divisi Manajemen Konstruksi</v>
          </cell>
        </row>
        <row r="231">
          <cell r="C231" t="str">
            <v>AP Group Project Control, Evaluation &amp; Administration</v>
          </cell>
        </row>
        <row r="237">
          <cell r="B237" t="str">
            <v>Kepala Divisi Produksi II</v>
          </cell>
        </row>
        <row r="239">
          <cell r="C239" t="str">
            <v>AM Group Operation &amp; Maintenance Produksi II</v>
          </cell>
        </row>
        <row r="243">
          <cell r="C243" t="str">
            <v>AM Group Quality Assurance &amp; General Affair Produksi II</v>
          </cell>
        </row>
        <row r="250">
          <cell r="B250" t="str">
            <v>Kepala Divisi Keuangan</v>
          </cell>
        </row>
        <row r="252">
          <cell r="C252" t="str">
            <v xml:space="preserve">Kepala Dinas Perbendaharaan  </v>
          </cell>
        </row>
        <row r="253">
          <cell r="C253" t="str">
            <v>Kepala Seksi Operasi Pendanaan</v>
          </cell>
        </row>
        <row r="254">
          <cell r="C254" t="str">
            <v xml:space="preserve">Analis Group Pendanaan </v>
          </cell>
        </row>
        <row r="255">
          <cell r="C255" t="str">
            <v xml:space="preserve">AP Group Penagihan &amp; Faktur </v>
          </cell>
        </row>
        <row r="256">
          <cell r="C256" t="str">
            <v xml:space="preserve">Analis Group Penagihan &amp; Faktur </v>
          </cell>
        </row>
        <row r="259">
          <cell r="C259" t="str">
            <v>Kepala Dinas Pajak &amp; Asuransi</v>
          </cell>
        </row>
        <row r="260">
          <cell r="C260" t="str">
            <v>Analis Group Pajak &amp; Asuransi</v>
          </cell>
        </row>
        <row r="263">
          <cell r="C263" t="str">
            <v>AM Group Akuntansi Manajemen</v>
          </cell>
        </row>
        <row r="264">
          <cell r="C264" t="str">
            <v>AP Group Akuntansi Manajemen</v>
          </cell>
        </row>
        <row r="267">
          <cell r="C267" t="str">
            <v>Kepala Dinas Akuntansi Keuangan</v>
          </cell>
        </row>
        <row r="268">
          <cell r="C268" t="str">
            <v xml:space="preserve">AP Group Akuntansi Umum  </v>
          </cell>
        </row>
        <row r="271">
          <cell r="C271" t="str">
            <v>Kepala Seksi Akuntansi Pembayaran</v>
          </cell>
        </row>
        <row r="272">
          <cell r="C272" t="str">
            <v xml:space="preserve">Analis Group Akuntansi Pembayaran </v>
          </cell>
        </row>
        <row r="279">
          <cell r="B279" t="str">
            <v>Kepala Divisi HC &amp; Umum</v>
          </cell>
        </row>
        <row r="281">
          <cell r="C281" t="str">
            <v>Kepala Dinas Perencanaan &amp; Pengembangan HC</v>
          </cell>
        </row>
        <row r="284">
          <cell r="C284" t="str">
            <v>Analis Group Perencanaan &amp; Pengembangan HC</v>
          </cell>
        </row>
        <row r="287">
          <cell r="C287" t="str">
            <v>Kepala Dinas Administrasi &amp; Remunerasi HC</v>
          </cell>
        </row>
        <row r="288">
          <cell r="C288" t="str">
            <v>AP Group Administrasi &amp; Kesejahteraan HC</v>
          </cell>
        </row>
        <row r="290">
          <cell r="C290" t="str">
            <v>Analis Group Remunerasi HC</v>
          </cell>
        </row>
        <row r="293">
          <cell r="C293" t="str">
            <v>Kepala Dinas Umum</v>
          </cell>
        </row>
        <row r="294">
          <cell r="C294" t="str">
            <v>AP Group Umum</v>
          </cell>
        </row>
        <row r="296">
          <cell r="C296" t="str">
            <v>Petugas Group Umum</v>
          </cell>
        </row>
        <row r="302">
          <cell r="B302" t="str">
            <v>Kepala Divisi Keamanan</v>
          </cell>
        </row>
        <row r="304">
          <cell r="C304" t="str">
            <v>Kepala Dinas Operasi Keamanan</v>
          </cell>
        </row>
        <row r="305">
          <cell r="C305" t="str">
            <v>AP Group Keamanan Khusus</v>
          </cell>
        </row>
        <row r="309">
          <cell r="C309" t="str">
            <v>Kepala Regu Krenceng</v>
          </cell>
        </row>
        <row r="310">
          <cell r="C310" t="str">
            <v>Kepala Regu Krenceng</v>
          </cell>
        </row>
        <row r="311">
          <cell r="C311" t="str">
            <v>Kepala Regu Krenceng</v>
          </cell>
        </row>
        <row r="312">
          <cell r="C312" t="str">
            <v>Kepala Seksi Operasi Keamanan Cipasauran &amp; Cidanau</v>
          </cell>
        </row>
        <row r="315">
          <cell r="C315" t="str">
            <v>Kepala Dinas Manajemen Aset</v>
          </cell>
        </row>
        <row r="316">
          <cell r="C316" t="str">
            <v>Analis Group Manajemen Aset</v>
          </cell>
        </row>
        <row r="322">
          <cell r="B322" t="str">
            <v>Kepala Divisi Perencanaan Korporat</v>
          </cell>
        </row>
        <row r="324">
          <cell r="C324" t="str">
            <v>Kepala Dinas Perencanaan Investasi &amp; Teknologi</v>
          </cell>
        </row>
        <row r="326">
          <cell r="C326" t="str">
            <v>Analis Group Perencanaan Investasi &amp; Teknologi</v>
          </cell>
        </row>
        <row r="327">
          <cell r="C327" t="str">
            <v>Analis Group Perencanaan Investasi &amp; Teknologi</v>
          </cell>
        </row>
        <row r="330">
          <cell r="C330" t="str">
            <v>Kepala Dinas Strategi Korporat &amp; Manajemen Portofolio</v>
          </cell>
        </row>
        <row r="331">
          <cell r="C331" t="str">
            <v>AP Group Strategi Korporat &amp; Manajemen Portofolio</v>
          </cell>
        </row>
        <row r="337">
          <cell r="B337" t="str">
            <v>Vice President Pengembangan Usaha</v>
          </cell>
        </row>
        <row r="339">
          <cell r="B339" t="str">
            <v>Kepala Divisi Pengembangan Usaha</v>
          </cell>
        </row>
        <row r="341">
          <cell r="C341" t="str">
            <v>Kepala Dinas PU Penyediaan Air Bersih</v>
          </cell>
        </row>
        <row r="342">
          <cell r="C342" t="str">
            <v>AP Group Pemasaran &amp; PU Air Bersih</v>
          </cell>
        </row>
        <row r="343">
          <cell r="C343" t="str">
            <v>AP Group Pemasaran &amp; PU Air Bersih</v>
          </cell>
        </row>
        <row r="347">
          <cell r="C347" t="str">
            <v>Kepala Dinas PU Pengolahan Air Industri</v>
          </cell>
        </row>
        <row r="348">
          <cell r="C348" t="str">
            <v>AP Group Pemasaran &amp; PU Air Industri</v>
          </cell>
        </row>
        <row r="349">
          <cell r="C349" t="str">
            <v>AP Group Pemasaran &amp; PU Air Industri</v>
          </cell>
        </row>
        <row r="355">
          <cell r="B355" t="str">
            <v>Kepala Divisi Komersial</v>
          </cell>
        </row>
        <row r="357">
          <cell r="C357" t="str">
            <v>Kepala Dinas Kontrak &amp; Pengadaan</v>
          </cell>
        </row>
        <row r="358">
          <cell r="C358" t="str">
            <v>Kepala Seksi Pengadaan Barang</v>
          </cell>
        </row>
        <row r="360">
          <cell r="C360" t="str">
            <v>Kepala Seksi Pengadaan Jasa</v>
          </cell>
        </row>
        <row r="361">
          <cell r="C361" t="str">
            <v>Analis Pengadaan Jasa</v>
          </cell>
        </row>
        <row r="362">
          <cell r="C362" t="str">
            <v>Petugas Group Control Procurement</v>
          </cell>
        </row>
        <row r="363">
          <cell r="C363" t="str">
            <v>Petugas Group Control Procurement</v>
          </cell>
        </row>
        <row r="366">
          <cell r="C366" t="str">
            <v xml:space="preserve">AM Group Kontrak &amp; Penjualan </v>
          </cell>
        </row>
        <row r="367">
          <cell r="C367" t="str">
            <v xml:space="preserve">AP Group Kontrak &amp; Penjualan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EA1D-FCB7-49EE-ACD3-CD89A00A69C4}">
  <sheetPr>
    <pageSetUpPr fitToPage="1"/>
  </sheetPr>
  <dimension ref="A4:H196"/>
  <sheetViews>
    <sheetView tabSelected="1" topLeftCell="A151" zoomScale="85" zoomScaleNormal="85" workbookViewId="0">
      <selection activeCell="G163" sqref="G163"/>
    </sheetView>
  </sheetViews>
  <sheetFormatPr defaultColWidth="9.109375" defaultRowHeight="15.6" x14ac:dyDescent="0.3"/>
  <cols>
    <col min="1" max="1" width="2.5546875" style="1" customWidth="1"/>
    <col min="2" max="2" width="7" style="1" customWidth="1"/>
    <col min="3" max="3" width="16.88671875" style="1" customWidth="1"/>
    <col min="4" max="4" width="13" style="2" bestFit="1" customWidth="1"/>
    <col min="5" max="5" width="38.6640625" style="1" customWidth="1"/>
    <col min="6" max="6" width="11.33203125" style="2" customWidth="1"/>
    <col min="7" max="7" width="61.33203125" style="1" customWidth="1"/>
    <col min="8" max="8" width="41.33203125" style="3" bestFit="1" customWidth="1"/>
    <col min="9" max="16384" width="9.109375" style="1"/>
  </cols>
  <sheetData>
    <row r="4" spans="2:8" x14ac:dyDescent="0.3">
      <c r="B4" s="4" t="s">
        <v>0</v>
      </c>
      <c r="C4" s="4"/>
      <c r="D4" s="5"/>
      <c r="F4" s="5"/>
    </row>
    <row r="5" spans="2:8" ht="16.2" thickBot="1" x14ac:dyDescent="0.35">
      <c r="B5" s="1" t="s">
        <v>1</v>
      </c>
      <c r="C5" s="6">
        <v>46142</v>
      </c>
      <c r="D5" s="7">
        <v>1</v>
      </c>
      <c r="E5" s="1">
        <v>2</v>
      </c>
      <c r="F5" s="7">
        <v>3</v>
      </c>
      <c r="G5" s="1">
        <v>4</v>
      </c>
      <c r="H5" s="7">
        <v>43</v>
      </c>
    </row>
    <row r="6" spans="2:8" s="10" customFormat="1" ht="45" customHeight="1" x14ac:dyDescent="0.3">
      <c r="B6" s="8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</row>
    <row r="7" spans="2:8" x14ac:dyDescent="0.3">
      <c r="B7" s="38">
        <f>IF(C7&lt;&gt;"",COUNTA(C$7:$C7),"")</f>
        <v>1</v>
      </c>
      <c r="C7" s="39">
        <f>IF(E7&lt;&gt;"",COUNTA($E$7:E7),"")</f>
        <v>1</v>
      </c>
      <c r="D7" s="39">
        <v>10000189</v>
      </c>
      <c r="E7" s="40" t="s">
        <v>9</v>
      </c>
      <c r="F7" s="39"/>
      <c r="G7" s="40" t="str">
        <f>'[11]01. Manning Table'!C8</f>
        <v xml:space="preserve">Staf Ahli Utama Direktur Utama </v>
      </c>
      <c r="H7" s="41" t="e">
        <v>#N/A</v>
      </c>
    </row>
    <row r="8" spans="2:8" x14ac:dyDescent="0.3">
      <c r="B8" s="38">
        <f>IF(C8&lt;&gt;"",COUNTA(C$7:$C8),"")</f>
        <v>2</v>
      </c>
      <c r="C8" s="39">
        <f>IF(E8&lt;&gt;"",COUNTA($E$7:E8),"")</f>
        <v>2</v>
      </c>
      <c r="D8" s="39">
        <v>10000134</v>
      </c>
      <c r="E8" s="40" t="s">
        <v>10</v>
      </c>
      <c r="F8" s="39" t="s">
        <v>11</v>
      </c>
      <c r="G8" s="40" t="str">
        <f>'[11]01. Manning Table'!C10</f>
        <v xml:space="preserve">Staf Ahli Utama Direktur Utama </v>
      </c>
      <c r="H8" s="41" t="e">
        <v>#N/A</v>
      </c>
    </row>
    <row r="9" spans="2:8" x14ac:dyDescent="0.3">
      <c r="B9" s="38">
        <f>IF(C9&lt;&gt;"",COUNTA(C$7:$C9),"")</f>
        <v>3</v>
      </c>
      <c r="C9" s="39">
        <f>IF(E9&lt;&gt;"",COUNTA($E$7:E9),"")</f>
        <v>3</v>
      </c>
      <c r="D9" s="42">
        <v>10000202</v>
      </c>
      <c r="E9" s="40" t="s">
        <v>12</v>
      </c>
      <c r="F9" s="39"/>
      <c r="G9" s="40" t="str">
        <f>'[11]01. Manning Table'!C11</f>
        <v xml:space="preserve">Staf Ahli Utama Direktur Utama </v>
      </c>
      <c r="H9" s="41" t="e">
        <v>#N/A</v>
      </c>
    </row>
    <row r="10" spans="2:8" x14ac:dyDescent="0.3">
      <c r="B10" s="38">
        <f>IF(C10&lt;&gt;"",COUNTA(C$7:$C10),"")</f>
        <v>4</v>
      </c>
      <c r="C10" s="39">
        <f>IF(E10&lt;&gt;"",COUNTA($E$7:E10),"")</f>
        <v>4</v>
      </c>
      <c r="D10" s="39">
        <v>10000192</v>
      </c>
      <c r="E10" s="40" t="s">
        <v>13</v>
      </c>
      <c r="F10" s="39"/>
      <c r="G10" s="40" t="str">
        <f>'[11]01. Manning Table'!C9</f>
        <v xml:space="preserve">Staf Ahli Utama Direktur Utama </v>
      </c>
      <c r="H10" s="41" t="e">
        <v>#N/A</v>
      </c>
    </row>
    <row r="11" spans="2:8" x14ac:dyDescent="0.3">
      <c r="B11" s="38">
        <f>IF(C11&lt;&gt;"",COUNTA(C$7:$C11),"")</f>
        <v>5</v>
      </c>
      <c r="C11" s="39">
        <f>IF(E11&lt;&gt;"",COUNTA($E$7:E11),"")</f>
        <v>5</v>
      </c>
      <c r="D11" s="39">
        <v>10000188</v>
      </c>
      <c r="E11" s="40" t="s">
        <v>14</v>
      </c>
      <c r="F11" s="39"/>
      <c r="G11" s="40" t="str">
        <f>'[11]01. Manning Table'!C12</f>
        <v xml:space="preserve">Staf Ahli Utama Direktur Utama </v>
      </c>
      <c r="H11" s="41" t="e">
        <v>#N/A</v>
      </c>
    </row>
    <row r="12" spans="2:8" x14ac:dyDescent="0.3">
      <c r="B12" s="38">
        <f>IF(C12&lt;&gt;"",COUNTA(C$7:$C12),"")</f>
        <v>6</v>
      </c>
      <c r="C12" s="39">
        <f>IF(E12&lt;&gt;"",COUNTA($E$7:E12),"")</f>
        <v>6</v>
      </c>
      <c r="D12" s="39">
        <v>10000249</v>
      </c>
      <c r="E12" s="40" t="s">
        <v>15</v>
      </c>
      <c r="F12" s="39"/>
      <c r="G12" s="40" t="str">
        <f>'[11]01. Manning Table'!C18</f>
        <v>Staf AM Direktur PU &amp; Komersial</v>
      </c>
      <c r="H12" s="41" t="e">
        <v>#N/A</v>
      </c>
    </row>
    <row r="13" spans="2:8" x14ac:dyDescent="0.3">
      <c r="B13" s="38">
        <f>IF(C13&lt;&gt;"",COUNTA(C$7:$C13),"")</f>
        <v>7</v>
      </c>
      <c r="C13" s="39">
        <f>IF(E13&lt;&gt;"",COUNTA($E$7:E13),"")</f>
        <v>7</v>
      </c>
      <c r="D13" s="39">
        <v>10000221</v>
      </c>
      <c r="E13" s="40" t="s">
        <v>16</v>
      </c>
      <c r="F13" s="39"/>
      <c r="G13" s="40" t="str">
        <f>'[11]01. Manning Table'!C22</f>
        <v>Staf AP Direktur PU&amp; Komersial</v>
      </c>
      <c r="H13" s="41" t="e">
        <v>#N/A</v>
      </c>
    </row>
    <row r="14" spans="2:8" x14ac:dyDescent="0.3">
      <c r="B14" s="38">
        <f>IF(C14&lt;&gt;"",COUNTA(C$7:$C14),"")</f>
        <v>8</v>
      </c>
      <c r="C14" s="39">
        <f>IF(E14&lt;&gt;"",COUNTA($E$7:E14),"")</f>
        <v>8</v>
      </c>
      <c r="D14" s="42">
        <v>10000322</v>
      </c>
      <c r="E14" s="40" t="s">
        <v>17</v>
      </c>
      <c r="F14" s="39"/>
      <c r="G14" s="40" t="str">
        <f>'[11]01. Manning Table'!C21</f>
        <v>Staf AP Direktur PU&amp; Komersial</v>
      </c>
      <c r="H14" s="41" t="e">
        <v>#N/A</v>
      </c>
    </row>
    <row r="15" spans="2:8" x14ac:dyDescent="0.3">
      <c r="B15" s="38">
        <f>IF(C15&lt;&gt;"",COUNTA(C$7:$C15),"")</f>
        <v>9</v>
      </c>
      <c r="C15" s="39">
        <f>IF(E15&lt;&gt;"",COUNTA($E$7:E15),"")</f>
        <v>9</v>
      </c>
      <c r="D15" s="42">
        <v>10000327</v>
      </c>
      <c r="E15" s="40" t="s">
        <v>18</v>
      </c>
      <c r="F15" s="42">
        <v>12655</v>
      </c>
      <c r="G15" s="43" t="str">
        <f>'[11]01. Manning Table'!C19</f>
        <v>Staf AM Direktur PU &amp; Komersial</v>
      </c>
      <c r="H15" s="44" t="e">
        <v>#N/A</v>
      </c>
    </row>
    <row r="16" spans="2:8" ht="16.2" thickBot="1" x14ac:dyDescent="0.35">
      <c r="B16" s="45">
        <f>IF(C16&lt;&gt;"",COUNTA(C$7:$C16),"")</f>
        <v>10</v>
      </c>
      <c r="C16" s="46">
        <f>IF(E16&lt;&gt;"",COUNTA($E$7:E16),"")</f>
        <v>10</v>
      </c>
      <c r="D16" s="46">
        <v>10000230</v>
      </c>
      <c r="E16" s="47" t="s">
        <v>19</v>
      </c>
      <c r="F16" s="46"/>
      <c r="G16" s="47" t="str">
        <f>'[11]01. Manning Table'!C20</f>
        <v>Staf AM Direktur PU &amp; Komersial</v>
      </c>
      <c r="H16" s="48" t="e">
        <v>#N/A</v>
      </c>
    </row>
    <row r="17" spans="2:8" x14ac:dyDescent="0.3">
      <c r="B17" s="11">
        <f>IF(C17&lt;&gt;"",COUNTA(C$7:$C17),"")</f>
        <v>11</v>
      </c>
      <c r="C17" s="22">
        <f>IF(E17&lt;&gt;"",COUNTA($E$17:E17),"")</f>
        <v>1</v>
      </c>
      <c r="D17" s="12">
        <v>10000178</v>
      </c>
      <c r="E17" s="13" t="s">
        <v>20</v>
      </c>
      <c r="F17" s="12"/>
      <c r="G17" s="13" t="str">
        <f>'[11]01. Manning Table'!B35</f>
        <v>Sekretaris Perusahaan</v>
      </c>
      <c r="H17" s="14" t="s">
        <v>191</v>
      </c>
    </row>
    <row r="18" spans="2:8" x14ac:dyDescent="0.3">
      <c r="B18" s="11">
        <f>IF(C18&lt;&gt;"",COUNTA(C$7:$C18),"")</f>
        <v>12</v>
      </c>
      <c r="C18" s="22">
        <f>IF(E18&lt;&gt;"",COUNTA($E$17:E18),"")</f>
        <v>2</v>
      </c>
      <c r="D18" s="12">
        <v>10000136</v>
      </c>
      <c r="E18" s="13" t="s">
        <v>21</v>
      </c>
      <c r="F18" s="12"/>
      <c r="G18" s="13" t="str">
        <f>'[11]01. Manning Table'!C37</f>
        <v>AM Group Corporate Affair</v>
      </c>
      <c r="H18" s="14" t="s">
        <v>191</v>
      </c>
    </row>
    <row r="19" spans="2:8" x14ac:dyDescent="0.3">
      <c r="B19" s="11">
        <f>IF(C19&lt;&gt;"",COUNTA(C$7:$C19),"")</f>
        <v>13</v>
      </c>
      <c r="C19" s="22">
        <f>IF(E19&lt;&gt;"",COUNTA($E$17:E19),"")</f>
        <v>3</v>
      </c>
      <c r="D19" s="12">
        <v>10000157</v>
      </c>
      <c r="E19" s="13" t="s">
        <v>22</v>
      </c>
      <c r="F19" s="12"/>
      <c r="G19" s="13" t="str">
        <f>'[11]01. Manning Table'!C39</f>
        <v>AP Group Corporate Affair</v>
      </c>
      <c r="H19" s="12" t="s">
        <v>191</v>
      </c>
    </row>
    <row r="20" spans="2:8" x14ac:dyDescent="0.3">
      <c r="B20" s="11">
        <f>IF(C20&lt;&gt;"",COUNTA(C$7:$C20),"")</f>
        <v>14</v>
      </c>
      <c r="C20" s="22">
        <f>IF(E20&lt;&gt;"",COUNTA($E$17:E20),"")</f>
        <v>4</v>
      </c>
      <c r="D20" s="12">
        <v>10000205</v>
      </c>
      <c r="E20" s="13" t="s">
        <v>23</v>
      </c>
      <c r="F20" s="12"/>
      <c r="G20" s="13" t="str">
        <f>'[11]01. Manning Table'!C42</f>
        <v>AM Group Corporate Community Development</v>
      </c>
      <c r="H20" s="12" t="s">
        <v>191</v>
      </c>
    </row>
    <row r="21" spans="2:8" x14ac:dyDescent="0.3">
      <c r="B21" s="11">
        <f>IF(C21&lt;&gt;"",COUNTA(C$7:$C21),"")</f>
        <v>15</v>
      </c>
      <c r="C21" s="22">
        <f>IF(E21&lt;&gt;"",COUNTA($E$17:E21),"")</f>
        <v>5</v>
      </c>
      <c r="D21" s="12">
        <v>10000212</v>
      </c>
      <c r="E21" s="13" t="s">
        <v>24</v>
      </c>
      <c r="F21" s="12"/>
      <c r="G21" s="13" t="str">
        <f>'[11]01. Manning Table'!C44</f>
        <v>Analis Group Corporate Community Development</v>
      </c>
      <c r="H21" s="14" t="s">
        <v>191</v>
      </c>
    </row>
    <row r="22" spans="2:8" x14ac:dyDescent="0.3">
      <c r="B22" s="11">
        <f>IF(C22&lt;&gt;"",COUNTA(C$7:$C22),"")</f>
        <v>16</v>
      </c>
      <c r="C22" s="12">
        <f>IF(E22&lt;&gt;"",COUNTA($E$22:E22),"")</f>
        <v>1</v>
      </c>
      <c r="D22" s="12">
        <v>10000184</v>
      </c>
      <c r="E22" s="13" t="s">
        <v>25</v>
      </c>
      <c r="F22" s="12"/>
      <c r="G22" s="13" t="str">
        <f>'[11]01. Manning Table'!B26</f>
        <v>Kepala Satuan Pengawas Internal</v>
      </c>
      <c r="H22" s="14" t="s">
        <v>192</v>
      </c>
    </row>
    <row r="23" spans="2:8" x14ac:dyDescent="0.3">
      <c r="B23" s="11">
        <f>IF(C23&lt;&gt;"",COUNTA(C$7:$C23),"")</f>
        <v>17</v>
      </c>
      <c r="C23" s="12">
        <f>IF(E23&lt;&gt;"",COUNTA($E$22:E23),"")</f>
        <v>2</v>
      </c>
      <c r="D23" s="12">
        <v>10000223</v>
      </c>
      <c r="E23" s="13" t="s">
        <v>26</v>
      </c>
      <c r="F23" s="12"/>
      <c r="G23" s="13" t="str">
        <f>'[11]01. Manning Table'!C30</f>
        <v>AP Group Pemeriksa</v>
      </c>
      <c r="H23" s="14" t="s">
        <v>192</v>
      </c>
    </row>
    <row r="24" spans="2:8" x14ac:dyDescent="0.3">
      <c r="B24" s="11">
        <f>IF(C24&lt;&gt;"",COUNTA(C$7:$C24),"")</f>
        <v>18</v>
      </c>
      <c r="C24" s="22">
        <f>IF(E24&lt;&gt;"",COUNTA($E$17:E24),"")</f>
        <v>8</v>
      </c>
      <c r="D24" s="16">
        <v>10000315</v>
      </c>
      <c r="E24" s="13" t="s">
        <v>27</v>
      </c>
      <c r="F24" s="12"/>
      <c r="G24" s="13" t="str">
        <f>'[11]01. Manning Table'!C29</f>
        <v>AP Group Pemeriksa</v>
      </c>
      <c r="H24" s="12" t="s">
        <v>192</v>
      </c>
    </row>
    <row r="25" spans="2:8" x14ac:dyDescent="0.3">
      <c r="B25" s="11">
        <f>IF(C25&lt;&gt;"",COUNTA(C$7:$C25),"")</f>
        <v>19</v>
      </c>
      <c r="C25" s="12">
        <f>IF(E25&lt;&gt;"",COUNTA($E$25:E25),"")</f>
        <v>1</v>
      </c>
      <c r="D25" s="16">
        <v>10000185</v>
      </c>
      <c r="E25" s="13" t="s">
        <v>28</v>
      </c>
      <c r="F25" s="12"/>
      <c r="G25" s="13" t="str">
        <f>'[11]01. Manning Table'!B50</f>
        <v>Kepala Divisi Legal, Kepatuhan, dan Manajemen Risiko</v>
      </c>
      <c r="H25" s="12" t="s">
        <v>206</v>
      </c>
    </row>
    <row r="26" spans="2:8" x14ac:dyDescent="0.3">
      <c r="B26" s="11">
        <f>IF(C26&lt;&gt;"",COUNTA(C$7:$C26),"")</f>
        <v>20</v>
      </c>
      <c r="C26" s="12">
        <f>IF(E26&lt;&gt;"",COUNTA($E$25:E26),"")</f>
        <v>2</v>
      </c>
      <c r="D26" s="12">
        <v>10000258</v>
      </c>
      <c r="E26" s="13" t="s">
        <v>29</v>
      </c>
      <c r="F26" s="12"/>
      <c r="G26" s="13" t="str">
        <f>'[11]01. Manning Table'!C52</f>
        <v>Ahli Madya Group Legal</v>
      </c>
      <c r="H26" s="12" t="s">
        <v>206</v>
      </c>
    </row>
    <row r="27" spans="2:8" x14ac:dyDescent="0.3">
      <c r="B27" s="11">
        <f>IF(C27&lt;&gt;"",COUNTA(C$7:$C27),"")</f>
        <v>21</v>
      </c>
      <c r="C27" s="12">
        <f>IF(E27&lt;&gt;"",COUNTA($E$25:E27),"")</f>
        <v>3</v>
      </c>
      <c r="D27" s="24">
        <v>10000298</v>
      </c>
      <c r="E27" s="25" t="s">
        <v>30</v>
      </c>
      <c r="F27" s="12"/>
      <c r="G27" s="13" t="str">
        <f>'[11]01. Manning Table'!C56</f>
        <v>Ahli Pertama Group Kepatuhan, Tata Kelola, dan Manajemen Risiko</v>
      </c>
      <c r="H27" s="12" t="s">
        <v>206</v>
      </c>
    </row>
    <row r="28" spans="2:8" x14ac:dyDescent="0.3">
      <c r="B28" s="11">
        <f>IF(C28&lt;&gt;"",COUNTA(C$7:$C28),"")</f>
        <v>22</v>
      </c>
      <c r="C28" s="22">
        <f>IF(E28&lt;&gt;"",COUNTA($E$28:E28),"")</f>
        <v>1</v>
      </c>
      <c r="D28" s="12">
        <v>10000199</v>
      </c>
      <c r="E28" s="13" t="s">
        <v>31</v>
      </c>
      <c r="F28" s="12"/>
      <c r="G28" s="13" t="str">
        <f>'[11]01. Manning Table'!B63</f>
        <v>Kepala Divisi Produksi I</v>
      </c>
      <c r="H28" s="14" t="s">
        <v>193</v>
      </c>
    </row>
    <row r="29" spans="2:8" ht="17.25" customHeight="1" x14ac:dyDescent="0.3">
      <c r="B29" s="11">
        <f>IF(C29&lt;&gt;"",COUNTA(C$7:$C29),"")</f>
        <v>23</v>
      </c>
      <c r="C29" s="22">
        <f>IF(E29&lt;&gt;"",COUNTA($E$28:E29),"")</f>
        <v>2</v>
      </c>
      <c r="D29" s="16">
        <v>10000341</v>
      </c>
      <c r="E29" s="13" t="s">
        <v>32</v>
      </c>
      <c r="F29" s="12">
        <v>12902</v>
      </c>
      <c r="G29" s="13" t="str">
        <f>'[11]01. Manning Table'!C72</f>
        <v>Petugas Group Air Baku</v>
      </c>
      <c r="H29" s="14" t="s">
        <v>193</v>
      </c>
    </row>
    <row r="30" spans="2:8" x14ac:dyDescent="0.3">
      <c r="B30" s="11">
        <f>IF(C30&lt;&gt;"",COUNTA(C$7:$C30),"")</f>
        <v>24</v>
      </c>
      <c r="C30" s="22">
        <f>IF(E30&lt;&gt;"",COUNTA($E$28:E30),"")</f>
        <v>3</v>
      </c>
      <c r="D30" s="16">
        <v>10000370</v>
      </c>
      <c r="E30" s="13" t="s">
        <v>33</v>
      </c>
      <c r="F30" s="16"/>
      <c r="G30" s="17" t="str">
        <f>'[11]01. Manning Table'!C73</f>
        <v>Petugas Group Air Baku</v>
      </c>
      <c r="H30" s="18" t="s">
        <v>193</v>
      </c>
    </row>
    <row r="31" spans="2:8" x14ac:dyDescent="0.3">
      <c r="B31" s="11">
        <f>IF(C31&lt;&gt;"",COUNTA(C$7:$C31),"")</f>
        <v>25</v>
      </c>
      <c r="C31" s="22">
        <f>IF(E31&lt;&gt;"",COUNTA($E$28:E31),"")</f>
        <v>4</v>
      </c>
      <c r="D31" s="24">
        <v>10000314</v>
      </c>
      <c r="E31" s="27" t="s">
        <v>34</v>
      </c>
      <c r="F31" s="12"/>
      <c r="G31" s="13" t="str">
        <f>'[11]01. Manning Table'!C65</f>
        <v>Kepala Dinas Air Baku</v>
      </c>
      <c r="H31" s="12" t="s">
        <v>193</v>
      </c>
    </row>
    <row r="32" spans="2:8" x14ac:dyDescent="0.3">
      <c r="B32" s="11">
        <f>IF(C32&lt;&gt;"",COUNTA(C$7:$C32),"")</f>
        <v>26</v>
      </c>
      <c r="C32" s="22">
        <f>IF(E32&lt;&gt;"",COUNTA($E$28:E32),"")</f>
        <v>5</v>
      </c>
      <c r="D32" s="12">
        <v>10000206</v>
      </c>
      <c r="E32" s="13" t="s">
        <v>35</v>
      </c>
      <c r="F32" s="12"/>
      <c r="G32" s="13" t="str">
        <f>'[11]01. Manning Table'!C67</f>
        <v>Teknisi Transmisi Air Baku</v>
      </c>
      <c r="H32" s="14" t="s">
        <v>193</v>
      </c>
    </row>
    <row r="33" spans="2:8" x14ac:dyDescent="0.3">
      <c r="B33" s="11">
        <f>IF(C33&lt;&gt;"",COUNTA(C$7:$C33),"")</f>
        <v>27</v>
      </c>
      <c r="C33" s="22">
        <f>IF(E33&lt;&gt;"",COUNTA($E$28:E33),"")</f>
        <v>6</v>
      </c>
      <c r="D33" s="12">
        <v>10000229</v>
      </c>
      <c r="E33" s="13" t="s">
        <v>36</v>
      </c>
      <c r="F33" s="12"/>
      <c r="G33" s="13" t="str">
        <f>'[11]01. Manning Table'!C68</f>
        <v>Teknisi Intake Air Baku &amp; Bendung</v>
      </c>
      <c r="H33" s="14" t="s">
        <v>193</v>
      </c>
    </row>
    <row r="34" spans="2:8" x14ac:dyDescent="0.3">
      <c r="B34" s="11">
        <f>IF(C34&lt;&gt;"",COUNTA(C$7:$C34),"")</f>
        <v>28</v>
      </c>
      <c r="C34" s="22">
        <f>IF(E34&lt;&gt;"",COUNTA($E$28:E34),"")</f>
        <v>7</v>
      </c>
      <c r="D34" s="12">
        <v>10000355</v>
      </c>
      <c r="E34" s="13" t="s">
        <v>37</v>
      </c>
      <c r="F34" s="12"/>
      <c r="G34" s="13" t="str">
        <f>'[11]01. Manning Table'!C70</f>
        <v>Teknisi Konservasi &amp; DAS</v>
      </c>
      <c r="H34" s="14" t="s">
        <v>193</v>
      </c>
    </row>
    <row r="35" spans="2:8" x14ac:dyDescent="0.3">
      <c r="B35" s="11">
        <f>IF(C35&lt;&gt;"",COUNTA(C$7:$C35),"")</f>
        <v>29</v>
      </c>
      <c r="C35" s="22">
        <f>IF(E35&lt;&gt;"",COUNTA($E$28:E35),"")</f>
        <v>8</v>
      </c>
      <c r="D35" s="12">
        <v>10000291</v>
      </c>
      <c r="E35" s="13" t="s">
        <v>38</v>
      </c>
      <c r="F35" s="12"/>
      <c r="G35" s="13" t="str">
        <f>'[11]01. Manning Table'!C71</f>
        <v>Teknisi Bendungan</v>
      </c>
      <c r="H35" s="14" t="s">
        <v>193</v>
      </c>
    </row>
    <row r="36" spans="2:8" x14ac:dyDescent="0.3">
      <c r="B36" s="11">
        <f>IF(C36&lt;&gt;"",COUNTA(C$7:$C36),"")</f>
        <v>30</v>
      </c>
      <c r="C36" s="22">
        <f>IF(E36&lt;&gt;"",COUNTA($E$28:E36),"")</f>
        <v>9</v>
      </c>
      <c r="D36" s="12">
        <v>10000264</v>
      </c>
      <c r="E36" s="13" t="s">
        <v>39</v>
      </c>
      <c r="F36" s="12"/>
      <c r="G36" s="13" t="str">
        <f>'[11]01. Manning Table'!C76</f>
        <v>Kepala Dinas Pengolahan Air Krenceng</v>
      </c>
      <c r="H36" s="14" t="s">
        <v>193</v>
      </c>
    </row>
    <row r="37" spans="2:8" x14ac:dyDescent="0.3">
      <c r="B37" s="11">
        <f>IF(C37&lt;&gt;"",COUNTA(C$7:$C37),"")</f>
        <v>31</v>
      </c>
      <c r="C37" s="22">
        <f>IF(E37&lt;&gt;"",COUNTA($E$28:E37),"")</f>
        <v>10</v>
      </c>
      <c r="D37" s="16">
        <v>10000365</v>
      </c>
      <c r="E37" s="13" t="s">
        <v>40</v>
      </c>
      <c r="F37" s="16"/>
      <c r="G37" s="17" t="str">
        <f>'[11]01. Manning Table'!C77</f>
        <v>Petugas Group Pengolahan Air Krenceng</v>
      </c>
      <c r="H37" s="18" t="s">
        <v>193</v>
      </c>
    </row>
    <row r="38" spans="2:8" x14ac:dyDescent="0.3">
      <c r="B38" s="11">
        <f>IF(C38&lt;&gt;"",COUNTA(C$7:$C38),"")</f>
        <v>32</v>
      </c>
      <c r="C38" s="22">
        <f>IF(E38&lt;&gt;"",COUNTA($E$28:E38),"")</f>
        <v>11</v>
      </c>
      <c r="D38" s="16">
        <v>10000367</v>
      </c>
      <c r="E38" s="13" t="s">
        <v>41</v>
      </c>
      <c r="F38" s="16"/>
      <c r="G38" s="17" t="str">
        <f>'[11]01. Manning Table'!C79</f>
        <v>Petugas Group Pengolahan Air Krenceng</v>
      </c>
      <c r="H38" s="18" t="s">
        <v>193</v>
      </c>
    </row>
    <row r="39" spans="2:8" x14ac:dyDescent="0.3">
      <c r="B39" s="11">
        <f>IF(C39&lt;&gt;"",COUNTA(C$7:$C39),"")</f>
        <v>33</v>
      </c>
      <c r="C39" s="22">
        <f>IF(E39&lt;&gt;"",COUNTA($E$28:E39),"")</f>
        <v>12</v>
      </c>
      <c r="D39" s="12">
        <v>10000253</v>
      </c>
      <c r="E39" s="13" t="s">
        <v>42</v>
      </c>
      <c r="F39" s="12"/>
      <c r="G39" s="13" t="str">
        <f>'[11]01. Manning Table'!C82</f>
        <v>Kepala Seksi Operasi WTP Krenceng</v>
      </c>
      <c r="H39" s="14" t="s">
        <v>193</v>
      </c>
    </row>
    <row r="40" spans="2:8" x14ac:dyDescent="0.3">
      <c r="B40" s="11">
        <f>IF(C40&lt;&gt;"",COUNTA(C$7:$C40),"")</f>
        <v>34</v>
      </c>
      <c r="C40" s="22">
        <f>IF(E40&lt;&gt;"",COUNTA($E$28:E40),"")</f>
        <v>13</v>
      </c>
      <c r="D40" s="12">
        <v>10000140</v>
      </c>
      <c r="E40" s="13" t="s">
        <v>43</v>
      </c>
      <c r="F40" s="12"/>
      <c r="G40" s="13" t="str">
        <f>'[11]01. Manning Table'!C83</f>
        <v>Kepala Seksi Operasi WTP Krenceng</v>
      </c>
      <c r="H40" s="14" t="s">
        <v>193</v>
      </c>
    </row>
    <row r="41" spans="2:8" x14ac:dyDescent="0.3">
      <c r="B41" s="11">
        <f>IF(C41&lt;&gt;"",COUNTA(C$7:$C41),"")</f>
        <v>35</v>
      </c>
      <c r="C41" s="22">
        <f>IF(E41&lt;&gt;"",COUNTA($E$28:E41),"")</f>
        <v>14</v>
      </c>
      <c r="D41" s="12">
        <v>10000241</v>
      </c>
      <c r="E41" s="13" t="s">
        <v>44</v>
      </c>
      <c r="F41" s="12"/>
      <c r="G41" s="13" t="str">
        <f>'[11]01. Manning Table'!C81</f>
        <v>Kepala Seksi Operasi WTP Krenceng</v>
      </c>
      <c r="H41" s="14" t="s">
        <v>193</v>
      </c>
    </row>
    <row r="42" spans="2:8" x14ac:dyDescent="0.3">
      <c r="B42" s="11">
        <f>IF(C42&lt;&gt;"",COUNTA(C$7:$C42),"")</f>
        <v>36</v>
      </c>
      <c r="C42" s="22">
        <f>IF(E42&lt;&gt;"",COUNTA($E$28:E42),"")</f>
        <v>15</v>
      </c>
      <c r="D42" s="16">
        <v>10000320</v>
      </c>
      <c r="E42" s="13" t="s">
        <v>45</v>
      </c>
      <c r="F42" s="12"/>
      <c r="G42" s="13" t="str">
        <f>'[11]01. Manning Table'!C80</f>
        <v>Kepala Seksi Operasi WTP Krenceng</v>
      </c>
      <c r="H42" s="14" t="s">
        <v>193</v>
      </c>
    </row>
    <row r="43" spans="2:8" x14ac:dyDescent="0.3">
      <c r="B43" s="11">
        <f>IF(C43&lt;&gt;"",COUNTA(C$7:$C43),"")</f>
        <v>37</v>
      </c>
      <c r="C43" s="22">
        <f>IF(E43&lt;&gt;"",COUNTA($E$28:E43),"")</f>
        <v>16</v>
      </c>
      <c r="D43" s="12">
        <v>10000216</v>
      </c>
      <c r="E43" s="13" t="s">
        <v>46</v>
      </c>
      <c r="F43" s="12"/>
      <c r="G43" s="13" t="str">
        <f>'[11]01. Manning Table'!C86</f>
        <v>Teknisi Operasi WTP Krenceng</v>
      </c>
      <c r="H43" s="14" t="s">
        <v>193</v>
      </c>
    </row>
    <row r="44" spans="2:8" x14ac:dyDescent="0.3">
      <c r="B44" s="11">
        <f>IF(C44&lt;&gt;"",COUNTA(C$7:$C44),"")</f>
        <v>38</v>
      </c>
      <c r="C44" s="22">
        <f>IF(E44&lt;&gt;"",COUNTA($E$28:E44),"")</f>
        <v>17</v>
      </c>
      <c r="D44" s="12">
        <v>10000286</v>
      </c>
      <c r="E44" s="13" t="s">
        <v>47</v>
      </c>
      <c r="F44" s="12"/>
      <c r="G44" s="13" t="str">
        <f>'[11]01. Manning Table'!C86</f>
        <v>Teknisi Operasi WTP Krenceng</v>
      </c>
      <c r="H44" s="14" t="s">
        <v>193</v>
      </c>
    </row>
    <row r="45" spans="2:8" x14ac:dyDescent="0.3">
      <c r="B45" s="11">
        <f>IF(C45&lt;&gt;"",COUNTA(C$7:$C45),"")</f>
        <v>39</v>
      </c>
      <c r="C45" s="22">
        <f>IF(E45&lt;&gt;"",COUNTA($E$28:E45),"")</f>
        <v>18</v>
      </c>
      <c r="D45" s="12">
        <v>10000288</v>
      </c>
      <c r="E45" s="13" t="s">
        <v>48</v>
      </c>
      <c r="F45" s="12"/>
      <c r="G45" s="13" t="str">
        <f>'[11]01. Manning Table'!C85</f>
        <v>Teknisi Operasi WTP Krenceng</v>
      </c>
      <c r="H45" s="14" t="s">
        <v>193</v>
      </c>
    </row>
    <row r="46" spans="2:8" x14ac:dyDescent="0.3">
      <c r="B46" s="11">
        <f>IF(C46&lt;&gt;"",COUNTA(C$7:$C46),"")</f>
        <v>40</v>
      </c>
      <c r="C46" s="22">
        <f>IF(E46&lt;&gt;"",COUNTA($E$28:E46),"")</f>
        <v>19</v>
      </c>
      <c r="D46" s="12">
        <v>10000269</v>
      </c>
      <c r="E46" s="13" t="s">
        <v>49</v>
      </c>
      <c r="F46" s="12"/>
      <c r="G46" s="13" t="str">
        <f>'[11]01. Manning Table'!C87</f>
        <v>Teknisi Operasi WTP Krenceng</v>
      </c>
      <c r="H46" s="12" t="s">
        <v>193</v>
      </c>
    </row>
    <row r="47" spans="2:8" x14ac:dyDescent="0.3">
      <c r="B47" s="11">
        <f>IF(C47&lt;&gt;"",COUNTA(C$7:$C47),"")</f>
        <v>41</v>
      </c>
      <c r="C47" s="22">
        <f>IF(E47&lt;&gt;"",COUNTA($E$28:E47),"")</f>
        <v>20</v>
      </c>
      <c r="D47" s="12">
        <v>10000271</v>
      </c>
      <c r="E47" s="13" t="s">
        <v>50</v>
      </c>
      <c r="F47" s="12"/>
      <c r="G47" s="13" t="str">
        <f>'[11]01. Manning Table'!C88</f>
        <v>Petugas Operasi WTP Krenceng</v>
      </c>
      <c r="H47" s="14" t="s">
        <v>193</v>
      </c>
    </row>
    <row r="48" spans="2:8" ht="17.25" customHeight="1" x14ac:dyDescent="0.3">
      <c r="B48" s="11">
        <f>IF(C48&lt;&gt;"",COUNTA(C$7:$C48),"")</f>
        <v>42</v>
      </c>
      <c r="C48" s="22">
        <f>IF(E48&lt;&gt;"",COUNTA($E$28:E48),"")</f>
        <v>21</v>
      </c>
      <c r="D48" s="16">
        <v>10000338</v>
      </c>
      <c r="E48" s="13" t="s">
        <v>51</v>
      </c>
      <c r="F48" s="12">
        <v>12350</v>
      </c>
      <c r="G48" s="13" t="str">
        <f>'[11]01. Manning Table'!C89</f>
        <v>Petugas Operasi WTP Krenceng</v>
      </c>
      <c r="H48" s="14" t="s">
        <v>193</v>
      </c>
    </row>
    <row r="49" spans="2:8" ht="17.25" customHeight="1" x14ac:dyDescent="0.3">
      <c r="B49" s="11">
        <f>IF(C49&lt;&gt;"",COUNTA(C$7:$C49),"")</f>
        <v>43</v>
      </c>
      <c r="C49" s="22">
        <f>IF(E49&lt;&gt;"",COUNTA($E$28:E49),"")</f>
        <v>22</v>
      </c>
      <c r="D49" s="16">
        <v>10000340</v>
      </c>
      <c r="E49" s="13" t="s">
        <v>52</v>
      </c>
      <c r="F49" s="12">
        <v>11640</v>
      </c>
      <c r="G49" s="13" t="str">
        <f>'[11]01. Manning Table'!C90</f>
        <v>Petugas Operasi WTP Krenceng</v>
      </c>
      <c r="H49" s="14" t="s">
        <v>193</v>
      </c>
    </row>
    <row r="50" spans="2:8" ht="17.25" customHeight="1" x14ac:dyDescent="0.3">
      <c r="B50" s="11">
        <f>IF(C50&lt;&gt;"",COUNTA(C$7:$C50),"")</f>
        <v>44</v>
      </c>
      <c r="C50" s="22">
        <f>IF(E50&lt;&gt;"",COUNTA($E$28:E50),"")</f>
        <v>23</v>
      </c>
      <c r="D50" s="16">
        <v>10000347</v>
      </c>
      <c r="E50" s="13" t="s">
        <v>53</v>
      </c>
      <c r="F50" s="12">
        <v>12496</v>
      </c>
      <c r="G50" s="13" t="str">
        <f>'[11]01. Manning Table'!C91</f>
        <v>Petugas Operasi WTP Krenceng</v>
      </c>
      <c r="H50" s="14" t="s">
        <v>193</v>
      </c>
    </row>
    <row r="51" spans="2:8" x14ac:dyDescent="0.3">
      <c r="B51" s="11">
        <f>IF(C51&lt;&gt;"",COUNTA(C$7:$C51),"")</f>
        <v>45</v>
      </c>
      <c r="C51" s="22">
        <f>IF(E51&lt;&gt;"",COUNTA($E$28:E51),"")</f>
        <v>24</v>
      </c>
      <c r="D51" s="12">
        <v>10000190</v>
      </c>
      <c r="E51" s="13" t="s">
        <v>54</v>
      </c>
      <c r="F51" s="12"/>
      <c r="G51" s="13" t="str">
        <f>'[11]01. Manning Table'!C98</f>
        <v>Kepala Dinas Proses &amp; Quality Control</v>
      </c>
      <c r="H51" s="14" t="s">
        <v>193</v>
      </c>
    </row>
    <row r="52" spans="2:8" x14ac:dyDescent="0.3">
      <c r="B52" s="11">
        <f>IF(C52&lt;&gt;"",COUNTA(C$7:$C52),"")</f>
        <v>46</v>
      </c>
      <c r="C52" s="22">
        <f>IF(E52&lt;&gt;"",COUNTA($E$28:E52),"")</f>
        <v>25</v>
      </c>
      <c r="D52" s="16">
        <v>10000318</v>
      </c>
      <c r="E52" s="13" t="s">
        <v>55</v>
      </c>
      <c r="F52" s="12"/>
      <c r="G52" s="13" t="str">
        <f>'[11]01. Manning Table'!C101</f>
        <v>AP Group Quality Control</v>
      </c>
      <c r="H52" s="14" t="s">
        <v>193</v>
      </c>
    </row>
    <row r="53" spans="2:8" x14ac:dyDescent="0.3">
      <c r="B53" s="11">
        <f>IF(C53&lt;&gt;"",COUNTA(C$7:$C53),"")</f>
        <v>47</v>
      </c>
      <c r="C53" s="22">
        <f>IF(E53&lt;&gt;"",COUNTA($E$28:E53),"")</f>
        <v>26</v>
      </c>
      <c r="D53" s="16">
        <v>10000361</v>
      </c>
      <c r="E53" s="13" t="s">
        <v>56</v>
      </c>
      <c r="F53" s="12"/>
      <c r="G53" s="13" t="str">
        <f>'[11]01. Manning Table'!C100</f>
        <v xml:space="preserve">Teknisi Group Proses </v>
      </c>
      <c r="H53" s="14" t="s">
        <v>193</v>
      </c>
    </row>
    <row r="54" spans="2:8" x14ac:dyDescent="0.3">
      <c r="B54" s="11">
        <f>IF(C54&lt;&gt;"",COUNTA(C$7:$C54),"")</f>
        <v>48</v>
      </c>
      <c r="C54" s="22">
        <f>IF(E54&lt;&gt;"",COUNTA($E$28:E54),"")</f>
        <v>27</v>
      </c>
      <c r="D54" s="12">
        <v>10000290</v>
      </c>
      <c r="E54" s="13" t="s">
        <v>57</v>
      </c>
      <c r="F54" s="12"/>
      <c r="G54" s="13" t="str">
        <f>'[11]01. Manning Table'!C102</f>
        <v xml:space="preserve">Analis Group Quality Control </v>
      </c>
      <c r="H54" s="14" t="s">
        <v>193</v>
      </c>
    </row>
    <row r="55" spans="2:8" x14ac:dyDescent="0.3">
      <c r="B55" s="11">
        <f>IF(C55&lt;&gt;"",COUNTA(C$7:$C55),"")</f>
        <v>49</v>
      </c>
      <c r="C55" s="22">
        <f>IF(E55&lt;&gt;"",COUNTA($E$28:E55),"")</f>
        <v>28</v>
      </c>
      <c r="D55" s="28">
        <v>10000336</v>
      </c>
      <c r="E55" s="29" t="s">
        <v>58</v>
      </c>
      <c r="F55" s="28">
        <v>12573</v>
      </c>
      <c r="G55" s="30" t="str">
        <f>'[11]01. Manning Table'!C103</f>
        <v xml:space="preserve">Petugas Group Quality Control </v>
      </c>
      <c r="H55" s="28" t="s">
        <v>193</v>
      </c>
    </row>
    <row r="56" spans="2:8" ht="17.25" customHeight="1" x14ac:dyDescent="0.3">
      <c r="B56" s="11">
        <f>IF(C56&lt;&gt;"",COUNTA(C$7:$C56),"")</f>
        <v>50</v>
      </c>
      <c r="C56" s="22">
        <f>IF(E56&lt;&gt;"",COUNTA($E$28:E56),"")</f>
        <v>29</v>
      </c>
      <c r="D56" s="16">
        <v>10000352</v>
      </c>
      <c r="E56" s="13" t="s">
        <v>59</v>
      </c>
      <c r="F56" s="12">
        <v>12399</v>
      </c>
      <c r="G56" s="13" t="str">
        <f>'[11]01. Manning Table'!C104</f>
        <v xml:space="preserve">Petugas Group Quality Control </v>
      </c>
      <c r="H56" s="14" t="s">
        <v>193</v>
      </c>
    </row>
    <row r="57" spans="2:8" x14ac:dyDescent="0.3">
      <c r="B57" s="11">
        <f>IF(C57&lt;&gt;"",COUNTA(C$7:$C57),"")</f>
        <v>51</v>
      </c>
      <c r="C57" s="22">
        <f>IF(E57&lt;&gt;"",COUNTA($E$28:E57),"")</f>
        <v>30</v>
      </c>
      <c r="D57" s="12">
        <v>10000240</v>
      </c>
      <c r="E57" s="13" t="s">
        <v>60</v>
      </c>
      <c r="F57" s="12"/>
      <c r="G57" s="13" t="str">
        <f>'[11]01. Manning Table'!C107</f>
        <v>Kepala Dinas Pengolahan Air Cipasauran  &amp; Cidanau</v>
      </c>
      <c r="H57" s="14" t="s">
        <v>193</v>
      </c>
    </row>
    <row r="58" spans="2:8" x14ac:dyDescent="0.3">
      <c r="B58" s="11">
        <f>IF(C58&lt;&gt;"",COUNTA(C$7:$C58),"")</f>
        <v>52</v>
      </c>
      <c r="C58" s="22">
        <f>IF(E58&lt;&gt;"",COUNTA($E$28:E58),"")</f>
        <v>31</v>
      </c>
      <c r="D58" s="28">
        <v>10000335</v>
      </c>
      <c r="E58" s="29" t="s">
        <v>61</v>
      </c>
      <c r="F58" s="28">
        <v>12894</v>
      </c>
      <c r="G58" s="30" t="str">
        <f>'[11]01. Manning Table'!C108</f>
        <v xml:space="preserve">Petugas Group Pengolahan Air Cipasauran &amp; Cidanau </v>
      </c>
      <c r="H58" s="28" t="s">
        <v>193</v>
      </c>
    </row>
    <row r="59" spans="2:8" x14ac:dyDescent="0.3">
      <c r="B59" s="11">
        <f>IF(C59&lt;&gt;"",COUNTA(C$7:$C59),"")</f>
        <v>53</v>
      </c>
      <c r="C59" s="22">
        <f>IF(E59&lt;&gt;"",COUNTA($E$28:E59),"")</f>
        <v>32</v>
      </c>
      <c r="D59" s="24">
        <v>10000311</v>
      </c>
      <c r="E59" s="27" t="s">
        <v>62</v>
      </c>
      <c r="F59" s="12"/>
      <c r="G59" s="13" t="str">
        <f>'[11]01. Manning Table'!C110</f>
        <v>Kepala Seksi Operasi WTP Cipasauran &amp; Cidanau</v>
      </c>
      <c r="H59" s="14" t="s">
        <v>193</v>
      </c>
    </row>
    <row r="60" spans="2:8" x14ac:dyDescent="0.3">
      <c r="B60" s="11">
        <f>IF(C60&lt;&gt;"",COUNTA(C$7:$C60),"")</f>
        <v>54</v>
      </c>
      <c r="C60" s="22">
        <f>IF(E60&lt;&gt;"",COUNTA($E$28:E60),"")</f>
        <v>33</v>
      </c>
      <c r="D60" s="12">
        <v>10000137</v>
      </c>
      <c r="E60" s="13" t="s">
        <v>63</v>
      </c>
      <c r="F60" s="12"/>
      <c r="G60" s="13" t="str">
        <f>'[11]01. Manning Table'!C111</f>
        <v>Kepala Seksi Operasi WTP Cipasauran &amp; Cidanau</v>
      </c>
      <c r="H60" s="14" t="s">
        <v>193</v>
      </c>
    </row>
    <row r="61" spans="2:8" x14ac:dyDescent="0.3">
      <c r="B61" s="11">
        <f>IF(C61&lt;&gt;"",COUNTA(C$7:$C61),"")</f>
        <v>55</v>
      </c>
      <c r="C61" s="22">
        <f>IF(E61&lt;&gt;"",COUNTA($E$28:E61),"")</f>
        <v>34</v>
      </c>
      <c r="D61" s="12">
        <v>10000285</v>
      </c>
      <c r="E61" s="13" t="s">
        <v>64</v>
      </c>
      <c r="F61" s="12"/>
      <c r="G61" s="13" t="str">
        <f>'[11]01. Manning Table'!C109</f>
        <v>Kepala Seksi Operasi WTP Cipasauran &amp; Cidanau</v>
      </c>
      <c r="H61" s="14" t="s">
        <v>193</v>
      </c>
    </row>
    <row r="62" spans="2:8" x14ac:dyDescent="0.3">
      <c r="B62" s="11">
        <f>IF(C62&lt;&gt;"",COUNTA(C$7:$C62),"")</f>
        <v>56</v>
      </c>
      <c r="C62" s="22">
        <f>IF(E62&lt;&gt;"",COUNTA($E$28:E62),"")</f>
        <v>35</v>
      </c>
      <c r="D62" s="12">
        <v>10000282</v>
      </c>
      <c r="E62" s="13" t="s">
        <v>65</v>
      </c>
      <c r="F62" s="12"/>
      <c r="G62" s="13" t="str">
        <f>'[11]01. Manning Table'!C112</f>
        <v>Kepala Seksi Operasi WTP Cipasauran &amp; Cidanau</v>
      </c>
      <c r="H62" s="14" t="s">
        <v>193</v>
      </c>
    </row>
    <row r="63" spans="2:8" x14ac:dyDescent="0.3">
      <c r="B63" s="11">
        <f>IF(C63&lt;&gt;"",COUNTA(C$7:$C63),"")</f>
        <v>57</v>
      </c>
      <c r="C63" s="22">
        <f>IF(E63&lt;&gt;"",COUNTA($E$28:E63),"")</f>
        <v>36</v>
      </c>
      <c r="D63" s="12">
        <v>10000283</v>
      </c>
      <c r="E63" s="13" t="s">
        <v>66</v>
      </c>
      <c r="F63" s="12"/>
      <c r="G63" s="13" t="str">
        <f>'[11]01. Manning Table'!C114</f>
        <v>Teknisi Operasi WTP Cipasauran &amp; Cidanau</v>
      </c>
      <c r="H63" s="14" t="s">
        <v>193</v>
      </c>
    </row>
    <row r="64" spans="2:8" x14ac:dyDescent="0.3">
      <c r="B64" s="11">
        <f>IF(C64&lt;&gt;"",COUNTA(C$7:$C64),"")</f>
        <v>58</v>
      </c>
      <c r="C64" s="22">
        <f>IF(E64&lt;&gt;"",COUNTA($E$28:E64),"")</f>
        <v>37</v>
      </c>
      <c r="D64" s="12">
        <v>10000268</v>
      </c>
      <c r="E64" s="13" t="s">
        <v>67</v>
      </c>
      <c r="F64" s="12"/>
      <c r="G64" s="13" t="str">
        <f>'[11]01. Manning Table'!C113</f>
        <v>Teknisi Operasi WTP Cipasauran &amp; Cidanau</v>
      </c>
      <c r="H64" s="14" t="s">
        <v>193</v>
      </c>
    </row>
    <row r="65" spans="2:8" x14ac:dyDescent="0.3">
      <c r="B65" s="11">
        <f>IF(C65&lt;&gt;"",COUNTA(C$7:$C65),"")</f>
        <v>59</v>
      </c>
      <c r="C65" s="22">
        <f>IF(E65&lt;&gt;"",COUNTA($E$28:E65),"")</f>
        <v>38</v>
      </c>
      <c r="D65" s="12">
        <v>10000287</v>
      </c>
      <c r="E65" s="13" t="s">
        <v>68</v>
      </c>
      <c r="F65" s="12"/>
      <c r="G65" s="13" t="str">
        <f>'[11]01. Manning Table'!C115</f>
        <v>Teknisi Operasi WTP Cipasauran &amp; Cidanau</v>
      </c>
      <c r="H65" s="14" t="s">
        <v>193</v>
      </c>
    </row>
    <row r="66" spans="2:8" x14ac:dyDescent="0.3">
      <c r="B66" s="11">
        <f>IF(C66&lt;&gt;"",COUNTA(C$7:$C66),"")</f>
        <v>60</v>
      </c>
      <c r="C66" s="22">
        <f>IF(E66&lt;&gt;"",COUNTA($E$28:E66),"")</f>
        <v>39</v>
      </c>
      <c r="D66" s="28">
        <v>10000333</v>
      </c>
      <c r="E66" s="29" t="s">
        <v>69</v>
      </c>
      <c r="F66" s="28">
        <v>12525</v>
      </c>
      <c r="G66" s="30" t="str">
        <f>'[11]01. Manning Table'!C120</f>
        <v>Petugas Operasi WTP Cipasauran &amp; Cidanau</v>
      </c>
      <c r="H66" s="28" t="s">
        <v>193</v>
      </c>
    </row>
    <row r="67" spans="2:8" x14ac:dyDescent="0.3">
      <c r="B67" s="11">
        <f>IF(C67&lt;&gt;"",COUNTA(C$7:$C67),"")</f>
        <v>61</v>
      </c>
      <c r="C67" s="22">
        <f>IF(E67&lt;&gt;"",COUNTA($E$28:E67),"")</f>
        <v>40</v>
      </c>
      <c r="D67" s="12">
        <v>10000272</v>
      </c>
      <c r="E67" s="13" t="s">
        <v>70</v>
      </c>
      <c r="F67" s="12"/>
      <c r="G67" s="13" t="str">
        <f>'[11]01. Manning Table'!C117</f>
        <v>Petugas Operasi WTP Cipasauran &amp; Cidanau</v>
      </c>
      <c r="H67" s="14" t="s">
        <v>193</v>
      </c>
    </row>
    <row r="68" spans="2:8" ht="17.25" customHeight="1" x14ac:dyDescent="0.3">
      <c r="B68" s="11">
        <f>IF(C68&lt;&gt;"",COUNTA(C$7:$C68),"")</f>
        <v>62</v>
      </c>
      <c r="C68" s="22">
        <f>IF(E68&lt;&gt;"",COUNTA($E$28:E68),"")</f>
        <v>41</v>
      </c>
      <c r="D68" s="16">
        <v>10000348</v>
      </c>
      <c r="E68" s="13" t="s">
        <v>71</v>
      </c>
      <c r="F68" s="12">
        <v>11679</v>
      </c>
      <c r="G68" s="13" t="str">
        <f>'[11]01. Manning Table'!C119</f>
        <v>Petugas Operasi WTP Cipasauran &amp; Cidanau</v>
      </c>
      <c r="H68" s="14" t="s">
        <v>193</v>
      </c>
    </row>
    <row r="69" spans="2:8" ht="17.25" customHeight="1" x14ac:dyDescent="0.3">
      <c r="B69" s="11">
        <f>IF(C69&lt;&gt;"",COUNTA(C$7:$C69),"")</f>
        <v>63</v>
      </c>
      <c r="C69" s="22">
        <f>IF(E69&lt;&gt;"",COUNTA($E$28:E69),"")</f>
        <v>42</v>
      </c>
      <c r="D69" s="16">
        <v>10000344</v>
      </c>
      <c r="E69" s="13" t="s">
        <v>72</v>
      </c>
      <c r="F69" s="12">
        <v>12365</v>
      </c>
      <c r="G69" s="13" t="str">
        <f>'[11]01. Manning Table'!C118</f>
        <v>Petugas Operasi WTP Cipasauran &amp; Cidanau</v>
      </c>
      <c r="H69" s="14" t="s">
        <v>193</v>
      </c>
    </row>
    <row r="70" spans="2:8" x14ac:dyDescent="0.3">
      <c r="B70" s="11">
        <f>IF(C70&lt;&gt;"",COUNTA(C$7:$C70),"")</f>
        <v>64</v>
      </c>
      <c r="C70" s="22">
        <f>IF(E70&lt;&gt;"",COUNTA($E70:E$70),"")</f>
        <v>1</v>
      </c>
      <c r="D70" s="12">
        <v>10000138</v>
      </c>
      <c r="E70" s="13" t="s">
        <v>73</v>
      </c>
      <c r="F70" s="12"/>
      <c r="G70" s="13" t="str">
        <f>'[11]01. Manning Table'!B126</f>
        <v>Kepala Divisi Distribusi &amp; Perencanaan Teknik</v>
      </c>
      <c r="H70" s="14" t="s">
        <v>194</v>
      </c>
    </row>
    <row r="71" spans="2:8" x14ac:dyDescent="0.3">
      <c r="B71" s="11">
        <f>IF(C71&lt;&gt;"",COUNTA(C$7:$C71),"")</f>
        <v>65</v>
      </c>
      <c r="C71" s="22">
        <f>IF(E71&lt;&gt;"",COUNTA($E$70:E71),"")</f>
        <v>2</v>
      </c>
      <c r="D71" s="12">
        <v>10000207</v>
      </c>
      <c r="E71" s="13" t="s">
        <v>74</v>
      </c>
      <c r="F71" s="12"/>
      <c r="G71" s="13" t="str">
        <f>'[11]01. Manning Table'!C128</f>
        <v>Kepala Dinas Distribusi &amp; Pelayanan Pelanggan</v>
      </c>
      <c r="H71" s="12" t="s">
        <v>194</v>
      </c>
    </row>
    <row r="72" spans="2:8" x14ac:dyDescent="0.3">
      <c r="B72" s="11">
        <f>IF(C72&lt;&gt;"",COUNTA(C$7:$C72),"")</f>
        <v>66</v>
      </c>
      <c r="C72" s="22">
        <f>IF(E72&lt;&gt;"",COUNTA($E$70:E72),"")</f>
        <v>3</v>
      </c>
      <c r="D72" s="12">
        <v>10000278</v>
      </c>
      <c r="E72" s="13" t="s">
        <v>75</v>
      </c>
      <c r="F72" s="12"/>
      <c r="G72" s="13" t="str">
        <f>'[11]01. Manning Table'!C140</f>
        <v>Teknisi Group Meter Air</v>
      </c>
      <c r="H72" s="14" t="s">
        <v>194</v>
      </c>
    </row>
    <row r="73" spans="2:8" ht="17.25" customHeight="1" x14ac:dyDescent="0.3">
      <c r="B73" s="11">
        <f>IF(C73&lt;&gt;"",COUNTA(C$7:$C73),"")</f>
        <v>67</v>
      </c>
      <c r="C73" s="22">
        <f>IF(E73&lt;&gt;"",COUNTA($E$70:E73),"")</f>
        <v>4</v>
      </c>
      <c r="D73" s="16">
        <v>10000339</v>
      </c>
      <c r="E73" s="13" t="s">
        <v>76</v>
      </c>
      <c r="F73" s="12">
        <v>13013</v>
      </c>
      <c r="G73" s="13" t="str">
        <f>'[11]01. Manning Table'!C141</f>
        <v>Petugas Group Meter Air</v>
      </c>
      <c r="H73" s="14" t="s">
        <v>194</v>
      </c>
    </row>
    <row r="74" spans="2:8" x14ac:dyDescent="0.3">
      <c r="B74" s="11">
        <f>IF(C74&lt;&gt;"",COUNTA(C$7:$C74),"")</f>
        <v>68</v>
      </c>
      <c r="C74" s="12">
        <v>5</v>
      </c>
      <c r="D74" s="16">
        <v>10000369</v>
      </c>
      <c r="E74" s="13" t="s">
        <v>77</v>
      </c>
      <c r="F74" s="16"/>
      <c r="G74" s="17" t="str">
        <f>'[11]01. Manning Table'!C134</f>
        <v>Petugas Group GIS</v>
      </c>
      <c r="H74" s="18" t="s">
        <v>194</v>
      </c>
    </row>
    <row r="75" spans="2:8" x14ac:dyDescent="0.3">
      <c r="B75" s="11">
        <f>IF(C75&lt;&gt;"",COUNTA(C$7:$C75),"")</f>
        <v>69</v>
      </c>
      <c r="C75" s="22">
        <f>IF(E75&lt;&gt;"",COUNTA($E$70:E75),"")</f>
        <v>6</v>
      </c>
      <c r="D75" s="24">
        <v>10000304</v>
      </c>
      <c r="E75" s="27" t="s">
        <v>78</v>
      </c>
      <c r="F75" s="12"/>
      <c r="G75" s="13" t="str">
        <f>'[11]01. Manning Table'!C135</f>
        <v>Kepala Seksi Pelayanan Pelanggan</v>
      </c>
      <c r="H75" s="14" t="s">
        <v>194</v>
      </c>
    </row>
    <row r="76" spans="2:8" x14ac:dyDescent="0.3">
      <c r="B76" s="11">
        <f>IF(C76&lt;&gt;"",COUNTA(C$7:$C76),"")</f>
        <v>70</v>
      </c>
      <c r="C76" s="22">
        <f>IF(E76&lt;&gt;"",COUNTA($E$70:E76),"")</f>
        <v>7</v>
      </c>
      <c r="D76" s="12">
        <v>10000226</v>
      </c>
      <c r="E76" s="13" t="s">
        <v>79</v>
      </c>
      <c r="F76" s="12"/>
      <c r="G76" s="13" t="str">
        <f>'[11]01. Manning Table'!C136</f>
        <v>Officer Pelayanan Pelanggan</v>
      </c>
      <c r="H76" s="14" t="s">
        <v>194</v>
      </c>
    </row>
    <row r="77" spans="2:8" x14ac:dyDescent="0.3">
      <c r="B77" s="11">
        <f>IF(C77&lt;&gt;"",COUNTA(C$7:$C77),"")</f>
        <v>71</v>
      </c>
      <c r="C77" s="22">
        <f>IF(E77&lt;&gt;"",COUNTA($E$70:E77),"")</f>
        <v>8</v>
      </c>
      <c r="D77" s="28">
        <v>10000332</v>
      </c>
      <c r="E77" s="29" t="s">
        <v>80</v>
      </c>
      <c r="F77" s="28">
        <v>12448</v>
      </c>
      <c r="G77" s="30" t="str">
        <f>'[11]01. Manning Table'!C139</f>
        <v>Petugas Pengolahan Data</v>
      </c>
      <c r="H77" s="28" t="s">
        <v>194</v>
      </c>
    </row>
    <row r="78" spans="2:8" ht="17.25" customHeight="1" x14ac:dyDescent="0.3">
      <c r="B78" s="11">
        <f>IF(C78&lt;&gt;"",COUNTA(C$7:$C78),"")</f>
        <v>72</v>
      </c>
      <c r="C78" s="22">
        <f>IF(E78&lt;&gt;"",COUNTA($E$70:E78),"")</f>
        <v>9</v>
      </c>
      <c r="D78" s="16">
        <v>10000354</v>
      </c>
      <c r="E78" s="13" t="s">
        <v>81</v>
      </c>
      <c r="F78" s="12">
        <v>12500</v>
      </c>
      <c r="G78" s="13" t="str">
        <f>'[11]01. Manning Table'!C137</f>
        <v>Petugas Pelayanan Pelanggan</v>
      </c>
      <c r="H78" s="14" t="s">
        <v>194</v>
      </c>
    </row>
    <row r="79" spans="2:8" x14ac:dyDescent="0.3">
      <c r="B79" s="11">
        <f>IF(C79&lt;&gt;"",COUNTA(C$7:$C79),"")</f>
        <v>73</v>
      </c>
      <c r="C79" s="22">
        <f>IF(E79&lt;&gt;"",COUNTA($E$70:E79),"")</f>
        <v>10</v>
      </c>
      <c r="D79" s="12">
        <v>10000276</v>
      </c>
      <c r="E79" s="13" t="s">
        <v>82</v>
      </c>
      <c r="F79" s="12"/>
      <c r="G79" s="13" t="str">
        <f>'[11]01. Manning Table'!C130</f>
        <v>Teknisi Group Perpipaan &amp; Proteksi Katodik</v>
      </c>
      <c r="H79" s="14" t="s">
        <v>194</v>
      </c>
    </row>
    <row r="80" spans="2:8" x14ac:dyDescent="0.3">
      <c r="B80" s="11">
        <f>IF(C80&lt;&gt;"",COUNTA(C$7:$C80),"")</f>
        <v>74</v>
      </c>
      <c r="C80" s="22">
        <f>IF(E80&lt;&gt;"",COUNTA($E$70:E80),"")</f>
        <v>11</v>
      </c>
      <c r="D80" s="28">
        <v>10000334</v>
      </c>
      <c r="E80" s="29" t="s">
        <v>83</v>
      </c>
      <c r="F80" s="28">
        <v>12301</v>
      </c>
      <c r="G80" s="30" t="str">
        <f>'[11]01. Manning Table'!C131</f>
        <v>Petugas Group Perpipaan &amp; Proteksi Katodik</v>
      </c>
      <c r="H80" s="28" t="s">
        <v>194</v>
      </c>
    </row>
    <row r="81" spans="1:8" ht="17.25" customHeight="1" x14ac:dyDescent="0.3">
      <c r="B81" s="11">
        <f>IF(C81&lt;&gt;"",COUNTA(C$7:$C81),"")</f>
        <v>75</v>
      </c>
      <c r="C81" s="22">
        <f>IF(E81&lt;&gt;"",COUNTA($E$70:E81),"")</f>
        <v>12</v>
      </c>
      <c r="D81" s="16">
        <v>10000350</v>
      </c>
      <c r="E81" s="13" t="s">
        <v>84</v>
      </c>
      <c r="F81" s="12">
        <v>12472</v>
      </c>
      <c r="G81" s="13" t="str">
        <f>'[11]01. Manning Table'!C132</f>
        <v>Petugas Group Perpipaan &amp; Proteksi Katodik</v>
      </c>
      <c r="H81" s="14" t="s">
        <v>194</v>
      </c>
    </row>
    <row r="82" spans="1:8" x14ac:dyDescent="0.3">
      <c r="B82" s="11">
        <f>IF(C82&lt;&gt;"",COUNTA(C$7:$C82),"")</f>
        <v>76</v>
      </c>
      <c r="C82" s="22">
        <f>IF(E82&lt;&gt;"",COUNTA($E$70:E82),"")</f>
        <v>13</v>
      </c>
      <c r="D82" s="12">
        <v>10000219</v>
      </c>
      <c r="E82" s="13" t="s">
        <v>85</v>
      </c>
      <c r="F82" s="12"/>
      <c r="G82" s="13" t="str">
        <f>'[11]01. Manning Table'!C145</f>
        <v>Kepala Dinas Perencanaan Barang &amp; Jasa</v>
      </c>
      <c r="H82" s="14" t="s">
        <v>194</v>
      </c>
    </row>
    <row r="83" spans="1:8" x14ac:dyDescent="0.3">
      <c r="B83" s="11">
        <f>IF(C83&lt;&gt;"",COUNTA(C$7:$C83),"")</f>
        <v>77</v>
      </c>
      <c r="C83" s="22">
        <f>IF(E83&lt;&gt;"",COUNTA($E$70:E83),"")</f>
        <v>14</v>
      </c>
      <c r="D83" s="24">
        <v>10000313</v>
      </c>
      <c r="E83" s="27" t="s">
        <v>86</v>
      </c>
      <c r="F83" s="12"/>
      <c r="G83" s="13" t="str">
        <f>'[11]01. Manning Table'!C146</f>
        <v>AP Group Perencanaan Mekanik, Elektrikal, &amp; Instrumen</v>
      </c>
      <c r="H83" s="14" t="s">
        <v>194</v>
      </c>
    </row>
    <row r="84" spans="1:8" x14ac:dyDescent="0.3">
      <c r="B84" s="11">
        <f>IF(C84&lt;&gt;"",COUNTA(C$7:$C84),"")</f>
        <v>78</v>
      </c>
      <c r="C84" s="22">
        <f>IF(E84&lt;&gt;"",COUNTA($E$70:E84),"")</f>
        <v>15</v>
      </c>
      <c r="D84" s="24">
        <v>10000309</v>
      </c>
      <c r="E84" s="27" t="s">
        <v>87</v>
      </c>
      <c r="F84" s="12"/>
      <c r="G84" s="13" t="str">
        <f>'[11]01. Manning Table'!C151</f>
        <v>AP Group Cost Estimator Jasa</v>
      </c>
      <c r="H84" s="14" t="s">
        <v>194</v>
      </c>
    </row>
    <row r="85" spans="1:8" x14ac:dyDescent="0.3">
      <c r="B85" s="11">
        <f>IF(C85&lt;&gt;"",COUNTA(C$7:$C85),"")</f>
        <v>79</v>
      </c>
      <c r="C85" s="22">
        <f>IF(E85&lt;&gt;"",COUNTA($E$70:E85),"")</f>
        <v>16</v>
      </c>
      <c r="D85" s="12">
        <v>10000256</v>
      </c>
      <c r="E85" s="13" t="s">
        <v>88</v>
      </c>
      <c r="F85" s="12"/>
      <c r="G85" s="13" t="str">
        <f>'[11]01. Manning Table'!C153</f>
        <v>AP Group Cost Estimator Barang</v>
      </c>
      <c r="H85" s="14" t="s">
        <v>194</v>
      </c>
    </row>
    <row r="86" spans="1:8" x14ac:dyDescent="0.3">
      <c r="B86" s="11">
        <f>IF(C86&lt;&gt;"",COUNTA(C$7:$C86),"")</f>
        <v>80</v>
      </c>
      <c r="C86" s="12">
        <f>IF(E86&lt;&gt;"",COUNTA($E$70:E86),"")</f>
        <v>17</v>
      </c>
      <c r="D86" s="16">
        <v>10000360</v>
      </c>
      <c r="E86" s="13" t="s">
        <v>89</v>
      </c>
      <c r="F86" s="12"/>
      <c r="G86" s="13" t="str">
        <f>'[11]01. Manning Table'!C149</f>
        <v>Teknisi Group Perencanaan Sipil &amp; Perpipaan</v>
      </c>
      <c r="H86" s="14" t="s">
        <v>194</v>
      </c>
    </row>
    <row r="87" spans="1:8" ht="17.25" customHeight="1" x14ac:dyDescent="0.3">
      <c r="B87" s="11">
        <f>IF(C87&lt;&gt;"",COUNTA(C$7:$C87),"")</f>
        <v>81</v>
      </c>
      <c r="C87" s="22">
        <f>IF(E87&lt;&gt;"",COUNTA($E$70:E87),"")</f>
        <v>18</v>
      </c>
      <c r="D87" s="16">
        <v>10000349</v>
      </c>
      <c r="E87" s="13" t="s">
        <v>90</v>
      </c>
      <c r="F87" s="12">
        <v>12568</v>
      </c>
      <c r="G87" s="13" t="str">
        <f>'[11]01. Manning Table'!C154</f>
        <v>Petugas Group Cost Estimator Barang</v>
      </c>
      <c r="H87" s="14" t="s">
        <v>194</v>
      </c>
    </row>
    <row r="88" spans="1:8" x14ac:dyDescent="0.3">
      <c r="B88" s="11">
        <f>IF(C88&lt;&gt;"",COUNTA(C$7:$C88),"")</f>
        <v>82</v>
      </c>
      <c r="C88" s="22">
        <f>IF(E88&lt;&gt;"",COUNTA($E$70:E88),"")</f>
        <v>19</v>
      </c>
      <c r="D88" s="12">
        <v>10000213</v>
      </c>
      <c r="E88" s="13" t="s">
        <v>91</v>
      </c>
      <c r="F88" s="12"/>
      <c r="G88" s="13" t="str">
        <f>'[11]01. Manning Table'!C157</f>
        <v>Kepala Dinas Pergudangan &amp; Pengendalian Barang</v>
      </c>
      <c r="H88" s="14" t="s">
        <v>194</v>
      </c>
    </row>
    <row r="89" spans="1:8" s="31" customFormat="1" x14ac:dyDescent="0.3">
      <c r="A89" s="1"/>
      <c r="B89" s="11">
        <f>IF(C89&lt;&gt;"",COUNTA(C$7:$C89),"")</f>
        <v>83</v>
      </c>
      <c r="C89" s="22">
        <f>IF(E89&lt;&gt;"",COUNTA($E$70:E89),"")</f>
        <v>20</v>
      </c>
      <c r="D89" s="12">
        <v>10000158</v>
      </c>
      <c r="E89" s="13" t="s">
        <v>92</v>
      </c>
      <c r="F89" s="12"/>
      <c r="G89" s="13" t="str">
        <f>'[11]01. Manning Table'!C159</f>
        <v>Teknisi Group Pergudangan &amp; Pengendalian Barang</v>
      </c>
      <c r="H89" s="14" t="s">
        <v>194</v>
      </c>
    </row>
    <row r="90" spans="1:8" s="32" customFormat="1" x14ac:dyDescent="0.3">
      <c r="A90" s="1"/>
      <c r="B90" s="11">
        <f>IF(C90&lt;&gt;"",COUNTA(C$7:$C90),"")</f>
        <v>84</v>
      </c>
      <c r="C90" s="12">
        <f>IF(E90&lt;&gt;"",COUNTA($E$25:E90),"")</f>
        <v>66</v>
      </c>
      <c r="D90" s="12">
        <v>10000228</v>
      </c>
      <c r="E90" s="13" t="s">
        <v>93</v>
      </c>
      <c r="F90" s="12"/>
      <c r="G90" s="13" t="str">
        <f>'[11]01. Manning Table'!C158</f>
        <v>Teknisi Group Pergudangan &amp; Pengendalian Barang</v>
      </c>
      <c r="H90" s="12" t="s">
        <v>194</v>
      </c>
    </row>
    <row r="91" spans="1:8" x14ac:dyDescent="0.3">
      <c r="B91" s="11">
        <f>IF(C91&lt;&gt;"",COUNTA(C$7:$C91),"")</f>
        <v>85</v>
      </c>
      <c r="C91" s="12">
        <f>IF(E91&lt;&gt;"",COUNTA($E$91:E91),"")</f>
        <v>1</v>
      </c>
      <c r="D91" s="12">
        <v>10000191</v>
      </c>
      <c r="E91" s="13" t="s">
        <v>94</v>
      </c>
      <c r="F91" s="12"/>
      <c r="G91" s="13" t="str">
        <f>'[11]01. Manning Table'!B165</f>
        <v>Kepala Divisi Pusat Perawatan &amp; HSE</v>
      </c>
      <c r="H91" s="12" t="s">
        <v>195</v>
      </c>
    </row>
    <row r="92" spans="1:8" x14ac:dyDescent="0.3">
      <c r="B92" s="11">
        <f>IF(C92&lt;&gt;"",COUNTA(C$7:$C92),"")</f>
        <v>86</v>
      </c>
      <c r="C92" s="12">
        <f>IF(E92&lt;&gt;"",COUNTA($E$91:E92),"")</f>
        <v>2</v>
      </c>
      <c r="D92" s="12">
        <v>10000263</v>
      </c>
      <c r="E92" s="13" t="s">
        <v>95</v>
      </c>
      <c r="F92" s="12"/>
      <c r="G92" s="13" t="str">
        <f>'[11]01. Manning Table'!C167</f>
        <v>Kepala Dinas Pusat Perawatan</v>
      </c>
      <c r="H92" s="14" t="s">
        <v>195</v>
      </c>
    </row>
    <row r="93" spans="1:8" x14ac:dyDescent="0.3">
      <c r="B93" s="11">
        <f>IF(C93&lt;&gt;"",COUNTA(C$7:$C93),"")</f>
        <v>87</v>
      </c>
      <c r="C93" s="12">
        <f>IF(E93&lt;&gt;"",COUNTA($E$91:E93),"")</f>
        <v>3</v>
      </c>
      <c r="D93" s="24">
        <v>10000312</v>
      </c>
      <c r="E93" s="27" t="s">
        <v>96</v>
      </c>
      <c r="F93" s="12"/>
      <c r="G93" s="13" t="str">
        <f>'[11]01. Manning Table'!C168</f>
        <v>AP Group Mekanik</v>
      </c>
      <c r="H93" s="14" t="s">
        <v>195</v>
      </c>
    </row>
    <row r="94" spans="1:8" x14ac:dyDescent="0.3">
      <c r="B94" s="11">
        <f>IF(C94&lt;&gt;"",COUNTA(C$7:$C94),"")</f>
        <v>88</v>
      </c>
      <c r="C94" s="12">
        <f>IF(E94&lt;&gt;"",COUNTA($E$91:E94),"")</f>
        <v>4</v>
      </c>
      <c r="D94" s="12">
        <v>10000267</v>
      </c>
      <c r="E94" s="13" t="s">
        <v>97</v>
      </c>
      <c r="F94" s="12"/>
      <c r="G94" s="13" t="str">
        <f>'[11]01. Manning Table'!C169</f>
        <v>Teknisi Group Mekanik</v>
      </c>
      <c r="H94" s="14" t="s">
        <v>195</v>
      </c>
    </row>
    <row r="95" spans="1:8" x14ac:dyDescent="0.3">
      <c r="B95" s="11">
        <f>IF(C95&lt;&gt;"",COUNTA(C$7:$C95),"")</f>
        <v>89</v>
      </c>
      <c r="C95" s="12">
        <f>IF(E95&lt;&gt;"",COUNTA($E$91:E95),"")</f>
        <v>5</v>
      </c>
      <c r="D95" s="12">
        <v>10000284</v>
      </c>
      <c r="E95" s="13" t="s">
        <v>98</v>
      </c>
      <c r="F95" s="12"/>
      <c r="G95" s="13" t="str">
        <f>'[11]01. Manning Table'!C170</f>
        <v>Teknisi Group Mekanik</v>
      </c>
      <c r="H95" s="14" t="s">
        <v>195</v>
      </c>
    </row>
    <row r="96" spans="1:8" x14ac:dyDescent="0.3">
      <c r="B96" s="11">
        <f>IF(C96&lt;&gt;"",COUNTA(C$7:$C96),"")</f>
        <v>90</v>
      </c>
      <c r="C96" s="12">
        <f>IF(E96&lt;&gt;"",COUNTA($E$91:E96),"")</f>
        <v>6</v>
      </c>
      <c r="D96" s="12">
        <v>10000266</v>
      </c>
      <c r="E96" s="13" t="s">
        <v>99</v>
      </c>
      <c r="F96" s="12"/>
      <c r="G96" s="13" t="str">
        <f>'[11]01. Manning Table'!C178</f>
        <v xml:space="preserve">Petugas Group Sipil &amp; Lingkungan </v>
      </c>
      <c r="H96" s="12" t="s">
        <v>195</v>
      </c>
    </row>
    <row r="97" spans="2:8" x14ac:dyDescent="0.3">
      <c r="B97" s="11">
        <f>IF(C97&lt;&gt;"",COUNTA(C$7:$C97),"")</f>
        <v>91</v>
      </c>
      <c r="C97" s="12">
        <f>IF(E97&lt;&gt;"",COUNTA($E$91:E97),"")</f>
        <v>7</v>
      </c>
      <c r="D97" s="12">
        <v>10000214</v>
      </c>
      <c r="E97" s="13" t="s">
        <v>100</v>
      </c>
      <c r="F97" s="12"/>
      <c r="G97" s="13" t="str">
        <f>'[11]01. Manning Table'!C172</f>
        <v>AP Group Elektrik</v>
      </c>
      <c r="H97" s="14" t="s">
        <v>195</v>
      </c>
    </row>
    <row r="98" spans="2:8" ht="17.25" customHeight="1" x14ac:dyDescent="0.3">
      <c r="B98" s="11">
        <f>IF(C98&lt;&gt;"",COUNTA(C$7:$C98),"")</f>
        <v>92</v>
      </c>
      <c r="C98" s="12">
        <f>IF(E98&lt;&gt;"",COUNTA($E$91:E98),"")</f>
        <v>8</v>
      </c>
      <c r="D98" s="16">
        <v>10000353</v>
      </c>
      <c r="E98" s="13" t="s">
        <v>101</v>
      </c>
      <c r="F98" s="12">
        <v>12392</v>
      </c>
      <c r="G98" s="13" t="str">
        <f>'[11]01. Manning Table'!C173</f>
        <v>Petugas Group Elektrik</v>
      </c>
      <c r="H98" s="14" t="s">
        <v>195</v>
      </c>
    </row>
    <row r="99" spans="2:8" ht="17.25" customHeight="1" x14ac:dyDescent="0.3">
      <c r="B99" s="11">
        <f>IF(C99&lt;&gt;"",COUNTA(C$7:$C99),"")</f>
        <v>93</v>
      </c>
      <c r="C99" s="12">
        <f>IF(E99&lt;&gt;"",COUNTA($E$91:E99),"")</f>
        <v>9</v>
      </c>
      <c r="D99" s="16">
        <v>10000345</v>
      </c>
      <c r="E99" s="13" t="s">
        <v>102</v>
      </c>
      <c r="F99" s="12">
        <v>12445</v>
      </c>
      <c r="G99" s="13" t="str">
        <f>'[11]01. Manning Table'!C175</f>
        <v>Petugas Group Elektrik</v>
      </c>
      <c r="H99" s="14" t="s">
        <v>195</v>
      </c>
    </row>
    <row r="100" spans="2:8" ht="17.25" customHeight="1" x14ac:dyDescent="0.3">
      <c r="B100" s="11">
        <f>IF(C100&lt;&gt;"",COUNTA(C$7:$C100),"")</f>
        <v>94</v>
      </c>
      <c r="C100" s="12">
        <f>IF(E100&lt;&gt;"",COUNTA($E$91:E100),"")</f>
        <v>10</v>
      </c>
      <c r="D100" s="16">
        <v>10000343</v>
      </c>
      <c r="E100" s="13" t="s">
        <v>103</v>
      </c>
      <c r="F100" s="12">
        <v>12371</v>
      </c>
      <c r="G100" s="13" t="str">
        <f>'[11]01. Manning Table'!C174</f>
        <v>Petugas Group Elektrik</v>
      </c>
      <c r="H100" s="14" t="s">
        <v>195</v>
      </c>
    </row>
    <row r="101" spans="2:8" x14ac:dyDescent="0.3">
      <c r="B101" s="11">
        <f>IF(C101&lt;&gt;"",COUNTA(C$7:$C101),"")</f>
        <v>95</v>
      </c>
      <c r="C101" s="12">
        <f>IF(E101&lt;&gt;"",COUNTA($E$91:E101),"")</f>
        <v>11</v>
      </c>
      <c r="D101" s="12">
        <v>10000215</v>
      </c>
      <c r="E101" s="13" t="s">
        <v>104</v>
      </c>
      <c r="F101" s="12"/>
      <c r="G101" s="13" t="str">
        <f>'[11]01. Manning Table'!C191</f>
        <v>AP Group Supervisi Mekanikal, Elektrik &amp; Instrumen</v>
      </c>
      <c r="H101" s="12" t="s">
        <v>195</v>
      </c>
    </row>
    <row r="102" spans="2:8" x14ac:dyDescent="0.3">
      <c r="B102" s="11">
        <f>IF(C102&lt;&gt;"",COUNTA(C$7:$C102),"")</f>
        <v>96</v>
      </c>
      <c r="C102" s="12">
        <f>IF(E102&lt;&gt;"",COUNTA($E$91:E102),"")</f>
        <v>12</v>
      </c>
      <c r="D102" s="12">
        <v>10000270</v>
      </c>
      <c r="E102" s="13" t="s">
        <v>105</v>
      </c>
      <c r="F102" s="12"/>
      <c r="G102" s="13" t="str">
        <f>'[11]01. Manning Table'!C176</f>
        <v>AP Group Sipil &amp; Lingkungan</v>
      </c>
      <c r="H102" s="12" t="s">
        <v>195</v>
      </c>
    </row>
    <row r="103" spans="2:8" x14ac:dyDescent="0.3">
      <c r="B103" s="11">
        <f>IF(C103&lt;&gt;"",COUNTA(C$7:$C103),"")</f>
        <v>97</v>
      </c>
      <c r="C103" s="12">
        <f>IF(E103&lt;&gt;"",COUNTA($E$91:E103),"")</f>
        <v>13</v>
      </c>
      <c r="D103" s="12">
        <v>10000373</v>
      </c>
      <c r="E103" s="13" t="s">
        <v>106</v>
      </c>
      <c r="F103" s="12">
        <v>11665</v>
      </c>
      <c r="G103" s="13" t="str">
        <f>'[11]01. Manning Table'!C177</f>
        <v xml:space="preserve">Petugas Group Sipil &amp; Lingkungan </v>
      </c>
      <c r="H103" s="12" t="s">
        <v>195</v>
      </c>
    </row>
    <row r="104" spans="2:8" x14ac:dyDescent="0.3">
      <c r="B104" s="11">
        <f>IF(C104&lt;&gt;"",COUNTA(C$7:$C104),"")</f>
        <v>98</v>
      </c>
      <c r="C104" s="12">
        <f>IF(E104&lt;&gt;"",COUNTA($E$91:E104),"")</f>
        <v>14</v>
      </c>
      <c r="D104" s="24">
        <v>10000303</v>
      </c>
      <c r="E104" s="27" t="s">
        <v>107</v>
      </c>
      <c r="F104" s="12"/>
      <c r="G104" s="13" t="str">
        <f>'[11]01. Manning Table'!C179</f>
        <v>AP Group Otomasi</v>
      </c>
      <c r="H104" s="14" t="s">
        <v>195</v>
      </c>
    </row>
    <row r="105" spans="2:8" x14ac:dyDescent="0.3">
      <c r="B105" s="11">
        <f>IF(C105&lt;&gt;"",COUNTA(C$7:$C105),"")</f>
        <v>99</v>
      </c>
      <c r="C105" s="12">
        <f>IF(E105&lt;&gt;"",COUNTA($E$91:E105),"")</f>
        <v>15</v>
      </c>
      <c r="D105" s="28">
        <v>10000331</v>
      </c>
      <c r="E105" s="29" t="s">
        <v>108</v>
      </c>
      <c r="F105" s="28">
        <v>12434</v>
      </c>
      <c r="G105" s="30" t="str">
        <f>'[11]01. Manning Table'!C180</f>
        <v xml:space="preserve">Petugas Group Otomasi  </v>
      </c>
      <c r="H105" s="28" t="s">
        <v>195</v>
      </c>
    </row>
    <row r="106" spans="2:8" x14ac:dyDescent="0.3">
      <c r="B106" s="11">
        <f>IF(C106&lt;&gt;"",COUNTA(C$7:$C106),"")</f>
        <v>100</v>
      </c>
      <c r="C106" s="12">
        <f>IF(E106&lt;&gt;"",COUNTA($E$91:E106),"")</f>
        <v>16</v>
      </c>
      <c r="D106" s="33">
        <v>10000292</v>
      </c>
      <c r="E106" s="23" t="s">
        <v>109</v>
      </c>
      <c r="F106" s="33"/>
      <c r="G106" s="23" t="str">
        <f>'[11]01. Manning Table'!C181</f>
        <v xml:space="preserve">Petugas Group Otomasi  </v>
      </c>
      <c r="H106" s="33" t="s">
        <v>195</v>
      </c>
    </row>
    <row r="107" spans="2:8" x14ac:dyDescent="0.3">
      <c r="B107" s="11">
        <f>IF(C107&lt;&gt;"",COUNTA(C$7:$C107),"")</f>
        <v>101</v>
      </c>
      <c r="C107" s="12">
        <f>IF(E107&lt;&gt;"",COUNTA($E$91:E107),"")</f>
        <v>17</v>
      </c>
      <c r="D107" s="12">
        <v>10000262</v>
      </c>
      <c r="E107" s="13" t="s">
        <v>110</v>
      </c>
      <c r="F107" s="12"/>
      <c r="G107" s="13" t="str">
        <f>'[11]01. Manning Table'!C188</f>
        <v>Kepala Dinas Inspeksi &amp; Supervisi</v>
      </c>
      <c r="H107" s="14" t="s">
        <v>195</v>
      </c>
    </row>
    <row r="108" spans="2:8" x14ac:dyDescent="0.3">
      <c r="B108" s="11">
        <f>IF(C108&lt;&gt;"",COUNTA(C$7:$C108),"")</f>
        <v>102</v>
      </c>
      <c r="C108" s="12">
        <f>IF(E108&lt;&gt;"",COUNTA($E$91:E108),"")</f>
        <v>18</v>
      </c>
      <c r="D108" s="12">
        <v>10000275</v>
      </c>
      <c r="E108" s="13" t="s">
        <v>111</v>
      </c>
      <c r="F108" s="12"/>
      <c r="G108" s="13" t="str">
        <f>'[11]01. Manning Table'!C189</f>
        <v>AP Group Inspeksi</v>
      </c>
      <c r="H108" s="12" t="s">
        <v>195</v>
      </c>
    </row>
    <row r="109" spans="2:8" x14ac:dyDescent="0.3">
      <c r="B109" s="11">
        <f>IF(C109&lt;&gt;"",COUNTA(C$7:$C109),"")</f>
        <v>103</v>
      </c>
      <c r="C109" s="12">
        <f>IF(E109&lt;&gt;"",COUNTA($E$91:E109),"")</f>
        <v>19</v>
      </c>
      <c r="D109" s="16">
        <v>10000372</v>
      </c>
      <c r="E109" s="13" t="s">
        <v>112</v>
      </c>
      <c r="F109" s="16"/>
      <c r="G109" s="17" t="str">
        <f>'[11]01. Manning Table'!C195</f>
        <v xml:space="preserve">Petugas Group Supervisi Sipil &amp; Perpipaan </v>
      </c>
      <c r="H109" s="18" t="s">
        <v>195</v>
      </c>
    </row>
    <row r="110" spans="2:8" x14ac:dyDescent="0.3">
      <c r="B110" s="11">
        <f>IF(C110&lt;&gt;"",COUNTA(C$7:$C110),"")</f>
        <v>104</v>
      </c>
      <c r="C110" s="12">
        <f>IF(E110&lt;&gt;"",COUNTA($E$91:E110),"")</f>
        <v>20</v>
      </c>
      <c r="D110" s="12">
        <v>10000225</v>
      </c>
      <c r="E110" s="13" t="s">
        <v>113</v>
      </c>
      <c r="F110" s="12"/>
      <c r="G110" s="13" t="str">
        <f>'[11]01. Manning Table'!C193</f>
        <v>AP Group Supervisi Sipil &amp; Perpipaan</v>
      </c>
      <c r="H110" s="14" t="s">
        <v>195</v>
      </c>
    </row>
    <row r="111" spans="2:8" x14ac:dyDescent="0.3">
      <c r="B111" s="11">
        <f>IF(C111&lt;&gt;"",COUNTA(C$7:$C111),"")</f>
        <v>105</v>
      </c>
      <c r="C111" s="12">
        <f>IF(E111&lt;&gt;"",COUNTA($E$91:E111),"")</f>
        <v>21</v>
      </c>
      <c r="D111" s="12">
        <v>10000279</v>
      </c>
      <c r="E111" s="13" t="s">
        <v>114</v>
      </c>
      <c r="F111" s="12"/>
      <c r="G111" s="13" t="str">
        <f>'[11]01. Manning Table'!C192</f>
        <v>Teknisi Group Supervisi Mekanikal, Elektrik &amp; Instrumen</v>
      </c>
      <c r="H111" s="12" t="s">
        <v>195</v>
      </c>
    </row>
    <row r="112" spans="2:8" x14ac:dyDescent="0.3">
      <c r="B112" s="11">
        <f>IF(C112&lt;&gt;"",COUNTA(C$7:$C112),"")</f>
        <v>106</v>
      </c>
      <c r="C112" s="12">
        <f>IF(E112&lt;&gt;"",COUNTA($E$91:E112),"")</f>
        <v>22</v>
      </c>
      <c r="D112" s="12">
        <v>10000227</v>
      </c>
      <c r="E112" s="13" t="s">
        <v>115</v>
      </c>
      <c r="F112" s="12"/>
      <c r="G112" s="13" t="str">
        <f>'[11]01. Manning Table'!C184</f>
        <v>AP Group Perencanaan &amp; Pengendalian Perawatan</v>
      </c>
      <c r="H112" s="14" t="s">
        <v>195</v>
      </c>
    </row>
    <row r="113" spans="2:8" x14ac:dyDescent="0.3">
      <c r="B113" s="11">
        <f>IF(C113&lt;&gt;"",COUNTA(C$7:$C113),"")</f>
        <v>107</v>
      </c>
      <c r="C113" s="12">
        <f>IF(E113&lt;&gt;"",COUNTA($E$91:E113),"")</f>
        <v>23</v>
      </c>
      <c r="D113" s="16">
        <v>10000359</v>
      </c>
      <c r="E113" s="13" t="s">
        <v>116</v>
      </c>
      <c r="F113" s="12"/>
      <c r="G113" s="13" t="str">
        <f>'[11]01. Manning Table'!C185</f>
        <v>Teknisi Group Perencanaan &amp; Pengendalian Perawatan</v>
      </c>
      <c r="H113" s="14" t="s">
        <v>195</v>
      </c>
    </row>
    <row r="114" spans="2:8" x14ac:dyDescent="0.3">
      <c r="B114" s="11">
        <f>IF(C114&lt;&gt;"",COUNTA(C$7:$C114),"")</f>
        <v>108</v>
      </c>
      <c r="C114" s="12">
        <f>IF(E114&lt;&gt;"",COUNTA($E$91:E114),"")</f>
        <v>24</v>
      </c>
      <c r="D114" s="16">
        <v>10000366</v>
      </c>
      <c r="E114" s="13" t="s">
        <v>117</v>
      </c>
      <c r="F114" s="16"/>
      <c r="G114" s="17" t="str">
        <f>'[11]01. Manning Table'!C171</f>
        <v>Petugas Group Mekanik</v>
      </c>
      <c r="H114" s="18" t="s">
        <v>195</v>
      </c>
    </row>
    <row r="115" spans="2:8" x14ac:dyDescent="0.3">
      <c r="B115" s="11">
        <f>IF(C115&lt;&gt;"",COUNTA(C$7:$C115),"")</f>
        <v>109</v>
      </c>
      <c r="C115" s="12">
        <f>IF(E115&lt;&gt;"",COUNTA($E$91:E115),"")</f>
        <v>25</v>
      </c>
      <c r="D115" s="16">
        <v>10000375</v>
      </c>
      <c r="E115" s="13" t="s">
        <v>118</v>
      </c>
      <c r="F115" s="12">
        <v>12536</v>
      </c>
      <c r="G115" s="17" t="str">
        <f>'[11]01. Manning Table'!C190</f>
        <v>Petugas Group Inspeksi</v>
      </c>
      <c r="H115" s="18" t="s">
        <v>195</v>
      </c>
    </row>
    <row r="116" spans="2:8" x14ac:dyDescent="0.3">
      <c r="B116" s="11">
        <f>IF(C116&lt;&gt;"",COUNTA(C$7:$C116),"")</f>
        <v>110</v>
      </c>
      <c r="C116" s="12">
        <f>IF(E116&lt;&gt;"",COUNTA($E$91:E116),"")</f>
        <v>26</v>
      </c>
      <c r="D116" s="16">
        <v>10000236</v>
      </c>
      <c r="E116" s="13" t="s">
        <v>119</v>
      </c>
      <c r="F116" s="12"/>
      <c r="G116" s="13" t="str">
        <f>'[11]01. Manning Table'!C198</f>
        <v>Kepala Dinas HSE</v>
      </c>
      <c r="H116" s="14" t="s">
        <v>195</v>
      </c>
    </row>
    <row r="117" spans="2:8" x14ac:dyDescent="0.3">
      <c r="B117" s="11">
        <f>IF(C117&lt;&gt;"",COUNTA(C$7:$C117),"")</f>
        <v>111</v>
      </c>
      <c r="C117" s="12">
        <f>IF(E117&lt;&gt;"",COUNTA($E$91:E117),"")</f>
        <v>27</v>
      </c>
      <c r="D117" s="16">
        <v>10000317</v>
      </c>
      <c r="E117" s="13" t="s">
        <v>120</v>
      </c>
      <c r="F117" s="12"/>
      <c r="G117" s="13" t="str">
        <f>'[11]01. Manning Table'!C199</f>
        <v>AP Group HSE</v>
      </c>
      <c r="H117" s="14" t="s">
        <v>195</v>
      </c>
    </row>
    <row r="118" spans="2:8" x14ac:dyDescent="0.3">
      <c r="B118" s="11">
        <f>IF(C118&lt;&gt;"",COUNTA(C$7:$C118),"")</f>
        <v>112</v>
      </c>
      <c r="C118" s="12">
        <f>IF(E118&lt;&gt;"",COUNTA($E$91:E118),"")</f>
        <v>28</v>
      </c>
      <c r="D118" s="16">
        <v>10000358</v>
      </c>
      <c r="E118" s="13" t="s">
        <v>121</v>
      </c>
      <c r="F118" s="12"/>
      <c r="G118" s="13" t="str">
        <f>'[11]01. Manning Table'!C200</f>
        <v>Teknisi Group HSE</v>
      </c>
      <c r="H118" s="14" t="s">
        <v>195</v>
      </c>
    </row>
    <row r="119" spans="2:8" x14ac:dyDescent="0.3">
      <c r="B119" s="11">
        <f>IF(C119&lt;&gt;"",COUNTA(C$7:$C119),"")</f>
        <v>113</v>
      </c>
      <c r="C119" s="22">
        <f>IF(E119&lt;&gt;"",COUNTA($E$119:E119),"")</f>
        <v>1</v>
      </c>
      <c r="D119" s="12">
        <v>10000210</v>
      </c>
      <c r="E119" s="13" t="s">
        <v>122</v>
      </c>
      <c r="F119" s="12"/>
      <c r="G119" s="13" t="str">
        <f>'[11]01. Manning Table'!B207</f>
        <v>Kepala Divisi Sistem Informasi &amp; Manajemen Kinerja</v>
      </c>
      <c r="H119" s="14" t="s">
        <v>196</v>
      </c>
    </row>
    <row r="120" spans="2:8" ht="16.5" customHeight="1" x14ac:dyDescent="0.3">
      <c r="B120" s="11">
        <f>IF(C120&lt;&gt;"",COUNTA(C$7:$C120),"")</f>
        <v>114</v>
      </c>
      <c r="C120" s="22">
        <f>IF(E120&lt;&gt;"",COUNTA($E$119:E120),"")</f>
        <v>2</v>
      </c>
      <c r="D120" s="12">
        <v>10000248</v>
      </c>
      <c r="E120" s="13" t="s">
        <v>123</v>
      </c>
      <c r="F120" s="12"/>
      <c r="G120" s="13" t="str">
        <f>'[11]01. Manning Table'!C209</f>
        <v>Kepala Dinas Teknologi Informasi</v>
      </c>
      <c r="H120" s="14" t="s">
        <v>196</v>
      </c>
    </row>
    <row r="121" spans="2:8" x14ac:dyDescent="0.3">
      <c r="B121" s="11">
        <f>IF(C121&lt;&gt;"",COUNTA(C$7:$C121),"")</f>
        <v>115</v>
      </c>
      <c r="C121" s="22">
        <f>IF(E121&lt;&gt;"",COUNTA($E$119:E121),"")</f>
        <v>3</v>
      </c>
      <c r="D121" s="12">
        <v>10000254</v>
      </c>
      <c r="E121" s="13" t="s">
        <v>124</v>
      </c>
      <c r="F121" s="12"/>
      <c r="G121" s="13" t="str">
        <f>'[11]01. Manning Table'!C210</f>
        <v xml:space="preserve">AP Group Perencanaan &amp; Pengembangan TI </v>
      </c>
      <c r="H121" s="14" t="s">
        <v>196</v>
      </c>
    </row>
    <row r="122" spans="2:8" x14ac:dyDescent="0.3">
      <c r="B122" s="11">
        <f>IF(C122&lt;&gt;"",COUNTA(C$7:$C122),"")</f>
        <v>116</v>
      </c>
      <c r="C122" s="22">
        <f>IF(E122&lt;&gt;"",COUNTA($E$119:E122),"")</f>
        <v>4</v>
      </c>
      <c r="D122" s="24">
        <v>10000302</v>
      </c>
      <c r="E122" s="27" t="s">
        <v>125</v>
      </c>
      <c r="F122" s="28"/>
      <c r="G122" s="13" t="str">
        <f>'[11]01. Manning Table'!C212</f>
        <v xml:space="preserve">AP Group Operasi &amp; Layanan TI </v>
      </c>
      <c r="H122" s="14" t="s">
        <v>196</v>
      </c>
    </row>
    <row r="123" spans="2:8" x14ac:dyDescent="0.3">
      <c r="B123" s="11">
        <f>IF(C123&lt;&gt;"",COUNTA(C$7:$C123),"")</f>
        <v>117</v>
      </c>
      <c r="C123" s="22">
        <f>IF(E123&lt;&gt;"",COUNTA($E$119:E123),"")</f>
        <v>5</v>
      </c>
      <c r="D123" s="12">
        <v>10000247</v>
      </c>
      <c r="E123" s="13" t="s">
        <v>126</v>
      </c>
      <c r="F123" s="12"/>
      <c r="G123" s="13" t="str">
        <f>'[11]01. Manning Table'!C216</f>
        <v>AM Group Digital Information Center</v>
      </c>
      <c r="H123" s="14" t="s">
        <v>196</v>
      </c>
    </row>
    <row r="124" spans="2:8" x14ac:dyDescent="0.3">
      <c r="B124" s="11">
        <f>IF(C124&lt;&gt;"",COUNTA(C$7:$C124),"")</f>
        <v>118</v>
      </c>
      <c r="C124" s="22">
        <f>IF(E124&lt;&gt;"",COUNTA($E$119:E124),"")</f>
        <v>6</v>
      </c>
      <c r="D124" s="12">
        <v>10000294</v>
      </c>
      <c r="E124" s="13" t="s">
        <v>127</v>
      </c>
      <c r="F124" s="12"/>
      <c r="G124" s="13" t="str">
        <f>'[11]01. Manning Table'!C221</f>
        <v xml:space="preserve">AP Group Manajemen Kinerja, Mutu &amp; Sisdur </v>
      </c>
      <c r="H124" s="14" t="s">
        <v>196</v>
      </c>
    </row>
    <row r="125" spans="2:8" x14ac:dyDescent="0.3">
      <c r="B125" s="11">
        <f>IF(C125&lt;&gt;"",COUNTA(C$7:$C125),"")</f>
        <v>119</v>
      </c>
      <c r="C125" s="22">
        <f>IF(E125&lt;&gt;"",COUNTA($E$119:E125),"")</f>
        <v>7</v>
      </c>
      <c r="D125" s="12">
        <v>10000374</v>
      </c>
      <c r="E125" s="13" t="s">
        <v>128</v>
      </c>
      <c r="F125" s="12">
        <v>11893</v>
      </c>
      <c r="G125" s="13" t="str">
        <f>'[11]01. Manning Table'!C211</f>
        <v xml:space="preserve">Analis Group Perencanaan &amp; Pengembangan TI </v>
      </c>
      <c r="H125" s="12" t="s">
        <v>196</v>
      </c>
    </row>
    <row r="126" spans="2:8" ht="17.25" customHeight="1" x14ac:dyDescent="0.3">
      <c r="B126" s="11">
        <f>IF(C126&lt;&gt;"",COUNTA(C$7:$C126),"")</f>
        <v>120</v>
      </c>
      <c r="C126" s="22">
        <f>IF(E126&lt;&gt;"",COUNTA($E$119:E126),"")</f>
        <v>8</v>
      </c>
      <c r="D126" s="16">
        <v>10000351</v>
      </c>
      <c r="E126" s="13" t="s">
        <v>129</v>
      </c>
      <c r="F126" s="12">
        <v>12801</v>
      </c>
      <c r="G126" s="13" t="str">
        <f>'[11]01. Manning Table'!C222</f>
        <v xml:space="preserve">Petugas Group Manajemen Kinerja, Mutu &amp; Sisdur </v>
      </c>
      <c r="H126" s="14" t="s">
        <v>196</v>
      </c>
    </row>
    <row r="127" spans="2:8" x14ac:dyDescent="0.3">
      <c r="B127" s="11">
        <f>IF(C127&lt;&gt;"",COUNTA(C$7:$C127),"")</f>
        <v>121</v>
      </c>
      <c r="C127" s="12">
        <f>IF(E127&lt;&gt;"",COUNTA($E127:E$127),"")</f>
        <v>1</v>
      </c>
      <c r="D127" s="12">
        <v>10000217</v>
      </c>
      <c r="E127" s="13" t="s">
        <v>130</v>
      </c>
      <c r="F127" s="12"/>
      <c r="G127" s="13" t="str">
        <f>'[11]01. Manning Table'!B237</f>
        <v>Kepala Divisi Produksi II</v>
      </c>
      <c r="H127" s="14" t="s">
        <v>197</v>
      </c>
    </row>
    <row r="128" spans="2:8" x14ac:dyDescent="0.3">
      <c r="B128" s="11">
        <f>IF(C128&lt;&gt;"",COUNTA(C$7:$C128),"")</f>
        <v>122</v>
      </c>
      <c r="C128" s="12">
        <f>IF(E128&lt;&gt;"",COUNTA($E$127:E128),"")</f>
        <v>2</v>
      </c>
      <c r="D128" s="12">
        <v>10000265</v>
      </c>
      <c r="E128" s="13" t="s">
        <v>131</v>
      </c>
      <c r="F128" s="12"/>
      <c r="G128" s="13" t="str">
        <f>'[11]01. Manning Table'!C243</f>
        <v>AM Group Quality Assurance &amp; General Affair Produksi II</v>
      </c>
      <c r="H128" s="14" t="s">
        <v>197</v>
      </c>
    </row>
    <row r="129" spans="2:8" x14ac:dyDescent="0.3">
      <c r="B129" s="11">
        <f>IF(C129&lt;&gt;"",COUNTA(C$7:$C129),"")</f>
        <v>123</v>
      </c>
      <c r="C129" s="12">
        <f>IF(E129&lt;&gt;"",COUNTA($E$127:E129),"")</f>
        <v>3</v>
      </c>
      <c r="D129" s="24">
        <v>10000310</v>
      </c>
      <c r="E129" s="25" t="s">
        <v>132</v>
      </c>
      <c r="F129" s="12"/>
      <c r="G129" s="13" t="str">
        <f>'[11]01. Manning Table'!C239</f>
        <v>AM Group Operation &amp; Maintenance Produksi II</v>
      </c>
      <c r="H129" s="12" t="s">
        <v>197</v>
      </c>
    </row>
    <row r="130" spans="2:8" x14ac:dyDescent="0.3">
      <c r="B130" s="11">
        <f>IF(C130&lt;&gt;"",COUNTA(C$7:$C130),"")</f>
        <v>124</v>
      </c>
      <c r="C130" s="22">
        <f>IF(E130&lt;&gt;"",COUNTA($E$130:E130),"")</f>
        <v>1</v>
      </c>
      <c r="D130" s="12">
        <v>10000235</v>
      </c>
      <c r="E130" s="13" t="s">
        <v>133</v>
      </c>
      <c r="F130" s="12"/>
      <c r="G130" s="13" t="str">
        <f>'[11]01. Manning Table'!B228</f>
        <v>Kepala Divisi Manajemen Konstruksi</v>
      </c>
      <c r="H130" s="14" t="s">
        <v>198</v>
      </c>
    </row>
    <row r="131" spans="2:8" x14ac:dyDescent="0.3">
      <c r="B131" s="11">
        <f>IF(C131&lt;&gt;"",COUNTA(C$7:$C131),"")</f>
        <v>125</v>
      </c>
      <c r="C131" s="22">
        <f>IF(E131&lt;&gt;"",COUNTA($E$130:E131),"")</f>
        <v>2</v>
      </c>
      <c r="D131" s="12">
        <v>10000224</v>
      </c>
      <c r="E131" s="13" t="s">
        <v>134</v>
      </c>
      <c r="F131" s="12"/>
      <c r="G131" s="13" t="str">
        <f>'[11]01. Manning Table'!C231</f>
        <v>AP Group Project Control, Evaluation &amp; Administration</v>
      </c>
      <c r="H131" s="14" t="s">
        <v>198</v>
      </c>
    </row>
    <row r="132" spans="2:8" x14ac:dyDescent="0.3">
      <c r="B132" s="11">
        <f>IF(C132&lt;&gt;"",COUNTA(C$7:$C132),"")</f>
        <v>126</v>
      </c>
      <c r="C132" s="12">
        <f>IF(E132&lt;&gt;"",COUNTA($E$132:E132),"")</f>
        <v>1</v>
      </c>
      <c r="D132" s="12">
        <v>10000198</v>
      </c>
      <c r="E132" s="13" t="s">
        <v>135</v>
      </c>
      <c r="F132" s="12"/>
      <c r="G132" s="13" t="str">
        <f>'[11]01. Manning Table'!B250</f>
        <v>Kepala Divisi Keuangan</v>
      </c>
      <c r="H132" s="14" t="s">
        <v>199</v>
      </c>
    </row>
    <row r="133" spans="2:8" x14ac:dyDescent="0.3">
      <c r="B133" s="11">
        <f>IF(C133&lt;&gt;"",COUNTA(C$7:$C133),"")</f>
        <v>127</v>
      </c>
      <c r="C133" s="12">
        <f>IF(E133&lt;&gt;"",COUNTA($E$132:E133),"")</f>
        <v>2</v>
      </c>
      <c r="D133" s="12">
        <v>10000233</v>
      </c>
      <c r="E133" s="13" t="s">
        <v>136</v>
      </c>
      <c r="F133" s="12"/>
      <c r="G133" s="13" t="str">
        <f>'[11]01. Manning Table'!C252</f>
        <v xml:space="preserve">Kepala Dinas Perbendaharaan  </v>
      </c>
      <c r="H133" s="14" t="s">
        <v>199</v>
      </c>
    </row>
    <row r="134" spans="2:8" x14ac:dyDescent="0.3">
      <c r="B134" s="11">
        <f>IF(C134&lt;&gt;"",COUNTA(C$7:$C134),"")</f>
        <v>128</v>
      </c>
      <c r="C134" s="12">
        <f>IF(E134&lt;&gt;"",COUNTA($E$132:E134),"")</f>
        <v>3</v>
      </c>
      <c r="D134" s="12">
        <v>10000295</v>
      </c>
      <c r="E134" s="13" t="s">
        <v>137</v>
      </c>
      <c r="F134" s="12"/>
      <c r="G134" s="13" t="str">
        <f>'[11]01. Manning Table'!C253</f>
        <v>Kepala Seksi Operasi Pendanaan</v>
      </c>
      <c r="H134" s="14" t="s">
        <v>199</v>
      </c>
    </row>
    <row r="135" spans="2:8" x14ac:dyDescent="0.3">
      <c r="B135" s="11">
        <f>IF(C135&lt;&gt;"",COUNTA(C$7:$C135),"")</f>
        <v>129</v>
      </c>
      <c r="C135" s="12">
        <f>IF(E135&lt;&gt;"",COUNTA($E$132:E135),"")</f>
        <v>4</v>
      </c>
      <c r="D135" s="12">
        <v>10000289</v>
      </c>
      <c r="E135" s="13" t="s">
        <v>138</v>
      </c>
      <c r="F135" s="12"/>
      <c r="G135" s="13" t="str">
        <f>'[11]01. Manning Table'!C254</f>
        <v xml:space="preserve">Analis Group Pendanaan </v>
      </c>
      <c r="H135" s="14" t="s">
        <v>199</v>
      </c>
    </row>
    <row r="136" spans="2:8" x14ac:dyDescent="0.3">
      <c r="B136" s="11">
        <f>IF(C136&lt;&gt;"",COUNTA(C$7:$C136),"")</f>
        <v>130</v>
      </c>
      <c r="C136" s="12">
        <f>IF(E136&lt;&gt;"",COUNTA($E$132:E136),"")</f>
        <v>5</v>
      </c>
      <c r="D136" s="24">
        <v>10000307</v>
      </c>
      <c r="E136" s="13" t="s">
        <v>139</v>
      </c>
      <c r="F136" s="12"/>
      <c r="G136" s="13" t="str">
        <f>'[11]01. Manning Table'!C255</f>
        <v xml:space="preserve">AP Group Penagihan &amp; Faktur </v>
      </c>
      <c r="H136" s="14" t="s">
        <v>199</v>
      </c>
    </row>
    <row r="137" spans="2:8" x14ac:dyDescent="0.3">
      <c r="B137" s="11">
        <f>IF(C137&lt;&gt;"",COUNTA(C$7:$C137),"")</f>
        <v>131</v>
      </c>
      <c r="C137" s="12">
        <f>IF(E137&lt;&gt;"",COUNTA($E$132:E137),"")</f>
        <v>6</v>
      </c>
      <c r="D137" s="12">
        <v>10000280</v>
      </c>
      <c r="E137" s="13" t="s">
        <v>140</v>
      </c>
      <c r="F137" s="12"/>
      <c r="G137" s="13" t="str">
        <f>'[11]01. Manning Table'!C256</f>
        <v xml:space="preserve">Analis Group Penagihan &amp; Faktur </v>
      </c>
      <c r="H137" s="14" t="s">
        <v>199</v>
      </c>
    </row>
    <row r="138" spans="2:8" x14ac:dyDescent="0.3">
      <c r="B138" s="11">
        <f>IF(C138&lt;&gt;"",COUNTA(C$7:$C138),"")</f>
        <v>132</v>
      </c>
      <c r="C138" s="12">
        <f>IF(E138&lt;&gt;"",COUNTA($E$132:E138),"")</f>
        <v>7</v>
      </c>
      <c r="D138" s="12">
        <v>10000250</v>
      </c>
      <c r="E138" s="13" t="s">
        <v>141</v>
      </c>
      <c r="F138" s="12"/>
      <c r="G138" s="13" t="str">
        <f>'[11]01. Manning Table'!C267</f>
        <v>Kepala Dinas Akuntansi Keuangan</v>
      </c>
      <c r="H138" s="14" t="s">
        <v>199</v>
      </c>
    </row>
    <row r="139" spans="2:8" x14ac:dyDescent="0.3">
      <c r="B139" s="11">
        <f>IF(C139&lt;&gt;"",COUNTA(C$7:$C139),"")</f>
        <v>133</v>
      </c>
      <c r="C139" s="12">
        <f>IF(E139&lt;&gt;"",COUNTA($E$132:E139),"")</f>
        <v>8</v>
      </c>
      <c r="D139" s="24">
        <v>10000297</v>
      </c>
      <c r="E139" s="27" t="s">
        <v>142</v>
      </c>
      <c r="F139" s="12"/>
      <c r="G139" s="13" t="str">
        <f>'[11]01. Manning Table'!C268</f>
        <v xml:space="preserve">AP Group Akuntansi Umum  </v>
      </c>
      <c r="H139" s="14" t="s">
        <v>199</v>
      </c>
    </row>
    <row r="140" spans="2:8" x14ac:dyDescent="0.3">
      <c r="B140" s="11">
        <f>IF(C140&lt;&gt;"",COUNTA(C$7:$C140),"")</f>
        <v>134</v>
      </c>
      <c r="C140" s="12">
        <f>IF(E140&lt;&gt;"",COUNTA($E$132:E140),"")</f>
        <v>9</v>
      </c>
      <c r="D140" s="12">
        <v>10000234</v>
      </c>
      <c r="E140" s="13" t="s">
        <v>143</v>
      </c>
      <c r="F140" s="12"/>
      <c r="G140" s="13" t="str">
        <f>'[11]01. Manning Table'!C271</f>
        <v>Kepala Seksi Akuntansi Pembayaran</v>
      </c>
      <c r="H140" s="14" t="s">
        <v>199</v>
      </c>
    </row>
    <row r="141" spans="2:8" x14ac:dyDescent="0.3">
      <c r="B141" s="11">
        <f>IF(C141&lt;&gt;"",COUNTA(C$7:$C141),"")</f>
        <v>135</v>
      </c>
      <c r="C141" s="12">
        <f>IF(E141&lt;&gt;"",COUNTA($E$132:E141),"")</f>
        <v>10</v>
      </c>
      <c r="D141" s="12">
        <v>10000293</v>
      </c>
      <c r="E141" s="13" t="s">
        <v>144</v>
      </c>
      <c r="F141" s="12"/>
      <c r="G141" s="13" t="str">
        <f>'[11]01. Manning Table'!C272</f>
        <v xml:space="preserve">Analis Group Akuntansi Pembayaran </v>
      </c>
      <c r="H141" s="14" t="s">
        <v>199</v>
      </c>
    </row>
    <row r="142" spans="2:8" x14ac:dyDescent="0.3">
      <c r="B142" s="11">
        <f>IF(C142&lt;&gt;"",COUNTA(C$7:$C142),"")</f>
        <v>136</v>
      </c>
      <c r="C142" s="12">
        <f>IF(E142&lt;&gt;"",COUNTA($E$132:E142),"")</f>
        <v>11</v>
      </c>
      <c r="D142" s="16">
        <v>10000328</v>
      </c>
      <c r="E142" s="13" t="s">
        <v>145</v>
      </c>
      <c r="F142" s="16" t="s">
        <v>146</v>
      </c>
      <c r="G142" s="15" t="str">
        <f>'[11]01. Manning Table'!C259</f>
        <v>Kepala Dinas Pajak &amp; Asuransi</v>
      </c>
      <c r="H142" s="14" t="s">
        <v>199</v>
      </c>
    </row>
    <row r="143" spans="2:8" x14ac:dyDescent="0.3">
      <c r="B143" s="11">
        <f>IF(C143&lt;&gt;"",COUNTA(C$7:$C143),"")</f>
        <v>137</v>
      </c>
      <c r="C143" s="12">
        <f>IF(E143&lt;&gt;"",COUNTA($E$132:E143),"")</f>
        <v>12</v>
      </c>
      <c r="D143" s="12">
        <v>10000356</v>
      </c>
      <c r="E143" s="13" t="s">
        <v>147</v>
      </c>
      <c r="F143" s="12"/>
      <c r="G143" s="13" t="str">
        <f>'[11]01. Manning Table'!C260</f>
        <v>Analis Group Pajak &amp; Asuransi</v>
      </c>
      <c r="H143" s="14" t="s">
        <v>199</v>
      </c>
    </row>
    <row r="144" spans="2:8" x14ac:dyDescent="0.3">
      <c r="B144" s="11">
        <f>IF(C144&lt;&gt;"",COUNTA(C$7:$C144),"")</f>
        <v>138</v>
      </c>
      <c r="C144" s="12">
        <f>IF(E144&lt;&gt;"",COUNTA($E$132:E144),"")</f>
        <v>13</v>
      </c>
      <c r="D144" s="24">
        <v>10000296</v>
      </c>
      <c r="E144" s="27" t="s">
        <v>148</v>
      </c>
      <c r="F144" s="12"/>
      <c r="G144" s="15" t="str">
        <f>'[11]01. Manning Table'!C264</f>
        <v>AP Group Akuntansi Manajemen</v>
      </c>
      <c r="H144" s="14" t="s">
        <v>199</v>
      </c>
    </row>
    <row r="145" spans="2:8" x14ac:dyDescent="0.3">
      <c r="B145" s="11">
        <f>IF(C145&lt;&gt;"",COUNTA(C$7:$C145),"")</f>
        <v>139</v>
      </c>
      <c r="C145" s="12">
        <f>IF(E145&lt;&gt;"",COUNTA($E$132:E145),"")</f>
        <v>14</v>
      </c>
      <c r="D145" s="24">
        <v>10000308</v>
      </c>
      <c r="E145" s="27" t="s">
        <v>149</v>
      </c>
      <c r="F145" s="12"/>
      <c r="G145" s="13" t="str">
        <f>'[11]01. Manning Table'!C263</f>
        <v>AM Group Akuntansi Manajemen</v>
      </c>
      <c r="H145" s="14" t="s">
        <v>199</v>
      </c>
    </row>
    <row r="146" spans="2:8" x14ac:dyDescent="0.3">
      <c r="B146" s="11">
        <f>IF(C146&lt;&gt;"",COUNTA(C$7:$C146),"")</f>
        <v>140</v>
      </c>
      <c r="C146" s="22">
        <f>IF(E146&lt;&gt;"",COUNTA($E$146:E146),"")</f>
        <v>1</v>
      </c>
      <c r="D146" s="12">
        <v>10000211</v>
      </c>
      <c r="E146" s="13" t="s">
        <v>150</v>
      </c>
      <c r="F146" s="12"/>
      <c r="G146" s="13" t="str">
        <f>'[11]01. Manning Table'!B279</f>
        <v>Kepala Divisi HC &amp; Umum</v>
      </c>
      <c r="H146" s="14" t="s">
        <v>200</v>
      </c>
    </row>
    <row r="147" spans="2:8" x14ac:dyDescent="0.3">
      <c r="B147" s="11">
        <f>IF(C147&lt;&gt;"",COUNTA(C$7:$C147),"")</f>
        <v>141</v>
      </c>
      <c r="C147" s="22">
        <f>IF(E147&lt;&gt;"",COUNTA($E$146:E147),"")</f>
        <v>2</v>
      </c>
      <c r="D147" s="24">
        <v>10000299</v>
      </c>
      <c r="E147" s="13" t="s">
        <v>151</v>
      </c>
      <c r="F147" s="12"/>
      <c r="G147" s="13" t="str">
        <f>'[11]01. Manning Table'!C281</f>
        <v>Kepala Dinas Perencanaan &amp; Pengembangan HC</v>
      </c>
      <c r="H147" s="12" t="s">
        <v>200</v>
      </c>
    </row>
    <row r="148" spans="2:8" x14ac:dyDescent="0.3">
      <c r="B148" s="11">
        <f>IF(C148&lt;&gt;"",COUNTA(C$7:$C148),"")</f>
        <v>142</v>
      </c>
      <c r="C148" s="22">
        <f>IF(E148&lt;&gt;"",COUNTA($E$146:E148),"")</f>
        <v>3</v>
      </c>
      <c r="D148" s="12">
        <v>10000357</v>
      </c>
      <c r="E148" s="13" t="s">
        <v>152</v>
      </c>
      <c r="F148" s="12"/>
      <c r="G148" s="13" t="str">
        <f>'[11]01. Manning Table'!C284</f>
        <v>Analis Group Perencanaan &amp; Pengembangan HC</v>
      </c>
      <c r="H148" s="14" t="s">
        <v>200</v>
      </c>
    </row>
    <row r="149" spans="2:8" x14ac:dyDescent="0.3">
      <c r="B149" s="11">
        <f>IF(C149&lt;&gt;"",COUNTA(C$7:$C149),"")</f>
        <v>143</v>
      </c>
      <c r="C149" s="22">
        <f>IF(E149&lt;&gt;"",COUNTA($E$146:E149),"")</f>
        <v>4</v>
      </c>
      <c r="D149" s="12">
        <v>10000252</v>
      </c>
      <c r="E149" s="13" t="s">
        <v>153</v>
      </c>
      <c r="F149" s="12"/>
      <c r="G149" s="13" t="str">
        <f>'[11]01. Manning Table'!C287</f>
        <v>Kepala Dinas Administrasi &amp; Remunerasi HC</v>
      </c>
      <c r="H149" s="14" t="s">
        <v>200</v>
      </c>
    </row>
    <row r="150" spans="2:8" x14ac:dyDescent="0.3">
      <c r="B150" s="11">
        <f>IF(C150&lt;&gt;"",COUNTA(C$7:$C150),"")</f>
        <v>144</v>
      </c>
      <c r="C150" s="22">
        <f>IF(E150&lt;&gt;"",COUNTA($E$146:E150),"")</f>
        <v>5</v>
      </c>
      <c r="D150" s="16">
        <v>10000321</v>
      </c>
      <c r="E150" s="13" t="s">
        <v>154</v>
      </c>
      <c r="F150" s="12"/>
      <c r="G150" s="13" t="str">
        <f>'[11]01. Manning Table'!C288</f>
        <v>AP Group Administrasi &amp; Kesejahteraan HC</v>
      </c>
      <c r="H150" s="14" t="s">
        <v>200</v>
      </c>
    </row>
    <row r="151" spans="2:8" x14ac:dyDescent="0.3">
      <c r="B151" s="11">
        <f>IF(C151&lt;&gt;"",COUNTA(C$7:$C151),"")</f>
        <v>145</v>
      </c>
      <c r="C151" s="22">
        <f>IF(E151&lt;&gt;"",COUNTA($E$146:E151),"")</f>
        <v>6</v>
      </c>
      <c r="D151" s="16">
        <v>10000362</v>
      </c>
      <c r="E151" s="13" t="s">
        <v>155</v>
      </c>
      <c r="F151" s="12"/>
      <c r="G151" s="13" t="str">
        <f>'[11]01. Manning Table'!C290</f>
        <v>Analis Group Remunerasi HC</v>
      </c>
      <c r="H151" s="14" t="s">
        <v>200</v>
      </c>
    </row>
    <row r="152" spans="2:8" x14ac:dyDescent="0.3">
      <c r="B152" s="11">
        <f>IF(C152&lt;&gt;"",COUNTA(C$7:$C152),"")</f>
        <v>146</v>
      </c>
      <c r="C152" s="22">
        <f>IF(E152&lt;&gt;"",COUNTA($E$146:E152),"")</f>
        <v>7</v>
      </c>
      <c r="D152" s="12">
        <v>10000218</v>
      </c>
      <c r="E152" s="13" t="s">
        <v>156</v>
      </c>
      <c r="F152" s="12"/>
      <c r="G152" s="13" t="str">
        <f>'[11]01. Manning Table'!C293</f>
        <v>Kepala Dinas Umum</v>
      </c>
      <c r="H152" s="12" t="s">
        <v>200</v>
      </c>
    </row>
    <row r="153" spans="2:8" x14ac:dyDescent="0.3">
      <c r="B153" s="11">
        <f>IF(C153&lt;&gt;"",COUNTA(C$7:$C153),"")</f>
        <v>147</v>
      </c>
      <c r="C153" s="22">
        <f>IF(E153&lt;&gt;"",COUNTA($E$146:E153),"")</f>
        <v>8</v>
      </c>
      <c r="D153" s="16">
        <v>10000316</v>
      </c>
      <c r="E153" s="13" t="s">
        <v>157</v>
      </c>
      <c r="F153" s="12"/>
      <c r="G153" s="13" t="str">
        <f>'[11]01. Manning Table'!C294</f>
        <v>AP Group Umum</v>
      </c>
      <c r="H153" s="14" t="s">
        <v>200</v>
      </c>
    </row>
    <row r="154" spans="2:8" ht="16.5" customHeight="1" x14ac:dyDescent="0.3">
      <c r="B154" s="11">
        <f>IF(C154&lt;&gt;"",COUNTA(C$7:$C154),"")</f>
        <v>148</v>
      </c>
      <c r="C154" s="22">
        <f>IF(E154&lt;&gt;"",COUNTA($E$146:E154),"")</f>
        <v>9</v>
      </c>
      <c r="D154" s="16">
        <v>10000346</v>
      </c>
      <c r="E154" s="13" t="s">
        <v>158</v>
      </c>
      <c r="F154" s="12">
        <v>12582</v>
      </c>
      <c r="G154" s="13" t="str">
        <f>'[11]01. Manning Table'!C296</f>
        <v>Petugas Group Umum</v>
      </c>
      <c r="H154" s="14" t="s">
        <v>200</v>
      </c>
    </row>
    <row r="155" spans="2:8" x14ac:dyDescent="0.3">
      <c r="B155" s="11">
        <f>IF(C155&lt;&gt;"",COUNTA(C$7:$C155),"")</f>
        <v>149</v>
      </c>
      <c r="C155" s="12">
        <f>IF(E155&lt;&gt;"",COUNTA($E$155:E155),"")</f>
        <v>1</v>
      </c>
      <c r="D155" s="16">
        <v>13000148</v>
      </c>
      <c r="E155" s="13" t="s">
        <v>159</v>
      </c>
      <c r="F155" s="12"/>
      <c r="G155" s="13" t="str">
        <f>'[11]01. Manning Table'!B302</f>
        <v>Kepala Divisi Keamanan</v>
      </c>
      <c r="H155" s="14" t="s">
        <v>201</v>
      </c>
    </row>
    <row r="156" spans="2:8" x14ac:dyDescent="0.3">
      <c r="B156" s="11">
        <f>IF(C156&lt;&gt;"",COUNTA(C$7:$C156),"")</f>
        <v>150</v>
      </c>
      <c r="C156" s="12">
        <f>IF(E156&lt;&gt;"",COUNTA($E$155:E156),"")</f>
        <v>2</v>
      </c>
      <c r="D156" s="12">
        <v>10000154</v>
      </c>
      <c r="E156" s="13" t="s">
        <v>160</v>
      </c>
      <c r="F156" s="12"/>
      <c r="G156" s="13" t="str">
        <f>'[11]01. Manning Table'!C304</f>
        <v>Kepala Dinas Operasi Keamanan</v>
      </c>
      <c r="H156" s="12" t="s">
        <v>201</v>
      </c>
    </row>
    <row r="157" spans="2:8" x14ac:dyDescent="0.3">
      <c r="B157" s="11">
        <f>IF(C157&lt;&gt;"",COUNTA(C$7:$C157),"")</f>
        <v>151</v>
      </c>
      <c r="C157" s="12">
        <f>IF(E157&lt;&gt;"",COUNTA($E$155:E157),"")</f>
        <v>3</v>
      </c>
      <c r="D157" s="12">
        <v>10000167</v>
      </c>
      <c r="E157" s="13" t="s">
        <v>161</v>
      </c>
      <c r="F157" s="12"/>
      <c r="G157" s="13" t="str">
        <f>'[11]01. Manning Table'!C305</f>
        <v>AP Group Keamanan Khusus</v>
      </c>
      <c r="H157" s="14" t="s">
        <v>201</v>
      </c>
    </row>
    <row r="158" spans="2:8" x14ac:dyDescent="0.3">
      <c r="B158" s="11">
        <f>IF(C158&lt;&gt;"",COUNTA(C$7:$C158),"")</f>
        <v>152</v>
      </c>
      <c r="C158" s="12">
        <f>IF(E158&lt;&gt;"",COUNTA($E$155:E158),"")</f>
        <v>4</v>
      </c>
      <c r="D158" s="12">
        <v>10000204</v>
      </c>
      <c r="E158" s="13" t="s">
        <v>162</v>
      </c>
      <c r="F158" s="12"/>
      <c r="G158" s="13" t="str">
        <f>'[11]01. Manning Table'!C310</f>
        <v>Kepala Regu Krenceng</v>
      </c>
      <c r="H158" s="14" t="s">
        <v>201</v>
      </c>
    </row>
    <row r="159" spans="2:8" x14ac:dyDescent="0.3">
      <c r="B159" s="11">
        <f>IF(C159&lt;&gt;"",COUNTA(C$7:$C159),"")</f>
        <v>153</v>
      </c>
      <c r="C159" s="12">
        <f>IF(E159&lt;&gt;"",COUNTA($E$155:E159),"")</f>
        <v>5</v>
      </c>
      <c r="D159" s="12">
        <v>10000277</v>
      </c>
      <c r="E159" s="13" t="s">
        <v>163</v>
      </c>
      <c r="F159" s="12"/>
      <c r="G159" s="13" t="str">
        <f>'[11]01. Manning Table'!C309</f>
        <v>Kepala Regu Krenceng</v>
      </c>
      <c r="H159" s="14" t="s">
        <v>201</v>
      </c>
    </row>
    <row r="160" spans="2:8" x14ac:dyDescent="0.3">
      <c r="B160" s="11">
        <f>IF(C160&lt;&gt;"",COUNTA(C$7:$C160),"")</f>
        <v>154</v>
      </c>
      <c r="C160" s="12">
        <f>IF(E160&lt;&gt;"",COUNTA($E$155:E160),"")</f>
        <v>6</v>
      </c>
      <c r="D160" s="12">
        <v>10000274</v>
      </c>
      <c r="E160" s="13" t="s">
        <v>164</v>
      </c>
      <c r="F160" s="12"/>
      <c r="G160" s="13" t="str">
        <f>'[11]01. Manning Table'!C311</f>
        <v>Kepala Regu Krenceng</v>
      </c>
      <c r="H160" s="14" t="s">
        <v>201</v>
      </c>
    </row>
    <row r="161" spans="2:8" x14ac:dyDescent="0.3">
      <c r="B161" s="11">
        <f>IF(C161&lt;&gt;"",COUNTA(C$7:$C161),"")</f>
        <v>155</v>
      </c>
      <c r="C161" s="12">
        <f>IF(E161&lt;&gt;"",COUNTA($E$155:E161),"")</f>
        <v>7</v>
      </c>
      <c r="D161" s="12">
        <v>10000273</v>
      </c>
      <c r="E161" s="13" t="s">
        <v>165</v>
      </c>
      <c r="F161" s="12"/>
      <c r="G161" s="13" t="str">
        <f>'[11]01. Manning Table'!C312</f>
        <v>Kepala Seksi Operasi Keamanan Cipasauran &amp; Cidanau</v>
      </c>
      <c r="H161" s="14" t="s">
        <v>201</v>
      </c>
    </row>
    <row r="162" spans="2:8" x14ac:dyDescent="0.3">
      <c r="B162" s="11">
        <f>IF(C162&lt;&gt;"",COUNTA(C$7:$C162),"")</f>
        <v>156</v>
      </c>
      <c r="C162" s="12">
        <f>IF(E162&lt;&gt;"",COUNTA($E$155:E162),"")</f>
        <v>8</v>
      </c>
      <c r="D162" s="16">
        <v>10000326</v>
      </c>
      <c r="E162" s="13" t="s">
        <v>166</v>
      </c>
      <c r="F162" s="16">
        <v>11487</v>
      </c>
      <c r="G162" s="26" t="str">
        <f>'[11]01. Manning Table'!C315</f>
        <v>Kepala Dinas Manajemen Aset</v>
      </c>
      <c r="H162" s="24" t="s">
        <v>201</v>
      </c>
    </row>
    <row r="163" spans="2:8" x14ac:dyDescent="0.3">
      <c r="B163" s="11">
        <f>IF(C163&lt;&gt;"",COUNTA(C$7:$C163),"")</f>
        <v>157</v>
      </c>
      <c r="C163" s="12">
        <f>IF(E163&lt;&gt;"",COUNTA($E$155:E163),"")</f>
        <v>9</v>
      </c>
      <c r="D163" s="12">
        <v>10000281</v>
      </c>
      <c r="E163" s="13" t="s">
        <v>167</v>
      </c>
      <c r="F163" s="12"/>
      <c r="G163" s="13" t="str">
        <f>'[11]01. Manning Table'!C316</f>
        <v>Analis Group Manajemen Aset</v>
      </c>
      <c r="H163" s="14" t="s">
        <v>201</v>
      </c>
    </row>
    <row r="164" spans="2:8" x14ac:dyDescent="0.3">
      <c r="B164" s="38">
        <f>IF(C164&lt;&gt;"",COUNTA(C$7:$C164),"")</f>
        <v>158</v>
      </c>
      <c r="C164" s="39">
        <v>1</v>
      </c>
      <c r="D164" s="39">
        <v>10000196</v>
      </c>
      <c r="E164" s="40" t="s">
        <v>168</v>
      </c>
      <c r="F164" s="39"/>
      <c r="G164" s="40" t="str">
        <f>'[11]01. Manning Table'!B337</f>
        <v>Vice President Pengembangan Usaha</v>
      </c>
      <c r="H164" s="41" t="s">
        <v>202</v>
      </c>
    </row>
    <row r="165" spans="2:8" x14ac:dyDescent="0.3">
      <c r="B165" s="11">
        <f>IF(C165&lt;&gt;"",COUNTA(C$7:$C165),"")</f>
        <v>159</v>
      </c>
      <c r="C165" s="22">
        <f>IF(E165&lt;&gt;"",COUNTA($E165:E$165),"")</f>
        <v>1</v>
      </c>
      <c r="D165" s="12">
        <v>10000200</v>
      </c>
      <c r="E165" s="13" t="s">
        <v>169</v>
      </c>
      <c r="F165" s="12"/>
      <c r="G165" s="13" t="str">
        <f>'[11]01. Manning Table'!B322</f>
        <v>Kepala Divisi Perencanaan Korporat</v>
      </c>
      <c r="H165" s="14" t="s">
        <v>203</v>
      </c>
    </row>
    <row r="166" spans="2:8" x14ac:dyDescent="0.3">
      <c r="B166" s="11">
        <f>IF(C166&lt;&gt;"",COUNTA(C$7:$C166),"")</f>
        <v>160</v>
      </c>
      <c r="C166" s="22">
        <f>IF(E166&lt;&gt;"",COUNTA($E$165:E166),"")</f>
        <v>2</v>
      </c>
      <c r="D166" s="12">
        <v>10000261</v>
      </c>
      <c r="E166" s="13" t="s">
        <v>170</v>
      </c>
      <c r="F166" s="12"/>
      <c r="G166" s="13" t="str">
        <f>'[11]01. Manning Table'!C330</f>
        <v>Kepala Dinas Strategi Korporat &amp; Manajemen Portofolio</v>
      </c>
      <c r="H166" s="12" t="s">
        <v>203</v>
      </c>
    </row>
    <row r="167" spans="2:8" x14ac:dyDescent="0.3">
      <c r="B167" s="11">
        <f>IF(C167&lt;&gt;"",COUNTA(C$7:$C167),"")</f>
        <v>161</v>
      </c>
      <c r="C167" s="22">
        <f>IF(E167&lt;&gt;"",COUNTA($E$165:E167),"")</f>
        <v>3</v>
      </c>
      <c r="D167" s="24">
        <v>10000305</v>
      </c>
      <c r="E167" s="27" t="s">
        <v>171</v>
      </c>
      <c r="F167" s="12"/>
      <c r="G167" s="13" t="str">
        <f>'[11]01. Manning Table'!C324</f>
        <v>Kepala Dinas Perencanaan Investasi &amp; Teknologi</v>
      </c>
      <c r="H167" s="12" t="s">
        <v>203</v>
      </c>
    </row>
    <row r="168" spans="2:8" x14ac:dyDescent="0.3">
      <c r="B168" s="11">
        <f>IF(C168&lt;&gt;"",COUNTA(C$7:$C168),"")</f>
        <v>162</v>
      </c>
      <c r="C168" s="12">
        <f>IF(E168&lt;&gt;"",COUNTA($E$165:E168),"")</f>
        <v>4</v>
      </c>
      <c r="D168" s="16">
        <v>10000363</v>
      </c>
      <c r="E168" s="13" t="s">
        <v>172</v>
      </c>
      <c r="F168" s="12"/>
      <c r="G168" s="13" t="str">
        <f>'[11]01. Manning Table'!C326</f>
        <v>Analis Group Perencanaan Investasi &amp; Teknologi</v>
      </c>
      <c r="H168" s="12" t="s">
        <v>203</v>
      </c>
    </row>
    <row r="169" spans="2:8" x14ac:dyDescent="0.3">
      <c r="B169" s="11">
        <f>IF(C169&lt;&gt;"",COUNTA(C$7:$C169),"")</f>
        <v>163</v>
      </c>
      <c r="C169" s="12">
        <f>IF(E169&lt;&gt;"",COUNTA($E$165:E169),"")</f>
        <v>5</v>
      </c>
      <c r="D169" s="24">
        <v>10000300</v>
      </c>
      <c r="E169" s="27" t="s">
        <v>173</v>
      </c>
      <c r="F169" s="12"/>
      <c r="G169" s="1" t="str">
        <f>'[11]01. Manning Table'!C331</f>
        <v>AP Group Strategi Korporat &amp; Manajemen Portofolio</v>
      </c>
      <c r="H169" s="2" t="s">
        <v>203</v>
      </c>
    </row>
    <row r="170" spans="2:8" x14ac:dyDescent="0.3">
      <c r="B170" s="11">
        <f>IF(C170&lt;&gt;"",COUNTA(C$7:$C170),"")</f>
        <v>164</v>
      </c>
      <c r="C170" s="12">
        <f>IF(E170&lt;&gt;"",COUNTA($E$165:E170),"")</f>
        <v>6</v>
      </c>
      <c r="D170" s="16">
        <v>10000364</v>
      </c>
      <c r="E170" s="13" t="s">
        <v>174</v>
      </c>
      <c r="F170" s="12"/>
      <c r="G170" s="13" t="str">
        <f>'[11]01. Manning Table'!C327</f>
        <v>Analis Group Perencanaan Investasi &amp; Teknologi</v>
      </c>
      <c r="H170" s="12" t="e">
        <v>#REF!</v>
      </c>
    </row>
    <row r="171" spans="2:8" x14ac:dyDescent="0.3">
      <c r="B171" s="11">
        <f>IF(C171&lt;&gt;"",COUNTA(C$7:$C171),"")</f>
        <v>165</v>
      </c>
      <c r="C171" s="22">
        <f>IF(E171&lt;&gt;"",COUNTA($E$171:E171),"")</f>
        <v>1</v>
      </c>
      <c r="D171" s="12">
        <v>10000201</v>
      </c>
      <c r="E171" s="13" t="s">
        <v>175</v>
      </c>
      <c r="F171" s="12"/>
      <c r="G171" s="13" t="str">
        <f>'[11]01. Manning Table'!B339</f>
        <v>Kepala Divisi Pengembangan Usaha</v>
      </c>
      <c r="H171" s="14" t="s">
        <v>204</v>
      </c>
    </row>
    <row r="172" spans="2:8" x14ac:dyDescent="0.3">
      <c r="B172" s="11">
        <f>IF(C172&lt;&gt;"",COUNTA(C$7:$C172),"")</f>
        <v>166</v>
      </c>
      <c r="C172" s="22">
        <f>IF(E172&lt;&gt;"",COUNTA($E$171:E172),"")</f>
        <v>2</v>
      </c>
      <c r="D172" s="12">
        <v>10000220</v>
      </c>
      <c r="E172" s="13" t="s">
        <v>176</v>
      </c>
      <c r="F172" s="12"/>
      <c r="G172" s="13" t="str">
        <f>'[11]01. Manning Table'!C341</f>
        <v>Kepala Dinas PU Penyediaan Air Bersih</v>
      </c>
      <c r="H172" s="14" t="s">
        <v>204</v>
      </c>
    </row>
    <row r="173" spans="2:8" x14ac:dyDescent="0.3">
      <c r="B173" s="11">
        <f>IF(C173&lt;&gt;"",COUNTA(C$7:$C173),"")</f>
        <v>167</v>
      </c>
      <c r="C173" s="22">
        <f>IF(E173&lt;&gt;"",COUNTA($E$171:E173),"")</f>
        <v>3</v>
      </c>
      <c r="D173" s="16">
        <v>10000319</v>
      </c>
      <c r="E173" s="13" t="s">
        <v>177</v>
      </c>
      <c r="F173" s="12"/>
      <c r="G173" s="13" t="str">
        <f>'[11]01. Manning Table'!C342</f>
        <v>AP Group Pemasaran &amp; PU Air Bersih</v>
      </c>
      <c r="H173" s="14" t="s">
        <v>204</v>
      </c>
    </row>
    <row r="174" spans="2:8" x14ac:dyDescent="0.3">
      <c r="B174" s="11">
        <f>IF(C174&lt;&gt;"",COUNTA(C$7:$C174),"")</f>
        <v>168</v>
      </c>
      <c r="C174" s="22">
        <f>IF(E174&lt;&gt;"",COUNTA($E$171:E174),"")</f>
        <v>4</v>
      </c>
      <c r="D174" s="16">
        <v>10000324</v>
      </c>
      <c r="E174" s="13" t="s">
        <v>178</v>
      </c>
      <c r="F174" s="12"/>
      <c r="G174" s="13" t="str">
        <f>'[11]01. Manning Table'!C343</f>
        <v>AP Group Pemasaran &amp; PU Air Bersih</v>
      </c>
      <c r="H174" s="14" t="s">
        <v>204</v>
      </c>
    </row>
    <row r="175" spans="2:8" x14ac:dyDescent="0.3">
      <c r="B175" s="11">
        <f>IF(C175&lt;&gt;"",COUNTA(C$7:$C175),"")</f>
        <v>169</v>
      </c>
      <c r="C175" s="22">
        <f>IF(E175&lt;&gt;"",COUNTA($E$171:E175),"")</f>
        <v>5</v>
      </c>
      <c r="D175" s="12">
        <v>10000260</v>
      </c>
      <c r="E175" s="13" t="s">
        <v>179</v>
      </c>
      <c r="F175" s="12"/>
      <c r="G175" s="34" t="str">
        <f>'[11]01. Manning Table'!C347</f>
        <v>Kepala Dinas PU Pengolahan Air Industri</v>
      </c>
      <c r="H175" s="14" t="s">
        <v>204</v>
      </c>
    </row>
    <row r="176" spans="2:8" x14ac:dyDescent="0.3">
      <c r="B176" s="11">
        <f>IF(C176&lt;&gt;"",COUNTA(C$7:$C176),"")</f>
        <v>170</v>
      </c>
      <c r="C176" s="22">
        <f>IF(E176&lt;&gt;"",COUNTA($E$171:E176),"")</f>
        <v>6</v>
      </c>
      <c r="D176" s="24">
        <v>10000301</v>
      </c>
      <c r="E176" s="13" t="s">
        <v>180</v>
      </c>
      <c r="F176" s="14"/>
      <c r="G176" s="13" t="str">
        <f>'[11]01. Manning Table'!C348</f>
        <v>AP Group Pemasaran &amp; PU Air Industri</v>
      </c>
      <c r="H176" s="14" t="s">
        <v>204</v>
      </c>
    </row>
    <row r="177" spans="2:8" x14ac:dyDescent="0.3">
      <c r="B177" s="11">
        <f>IF(C177&lt;&gt;"",COUNTA(C$7:$C177),"")</f>
        <v>171</v>
      </c>
      <c r="C177" s="22">
        <f>IF(E177&lt;&gt;"",COUNTA($E$171:E177),"")</f>
        <v>7</v>
      </c>
      <c r="D177" s="16">
        <v>10000323</v>
      </c>
      <c r="E177" s="13" t="s">
        <v>181</v>
      </c>
      <c r="F177" s="12"/>
      <c r="G177" s="13" t="str">
        <f>'[11]01. Manning Table'!C349</f>
        <v>AP Group Pemasaran &amp; PU Air Industri</v>
      </c>
      <c r="H177" s="14" t="s">
        <v>204</v>
      </c>
    </row>
    <row r="178" spans="2:8" x14ac:dyDescent="0.3">
      <c r="B178" s="11">
        <f>IF(C178&lt;&gt;"",COUNTA(C$7:$C178),"")</f>
        <v>172</v>
      </c>
      <c r="C178" s="22">
        <f>IF(E178&lt;&gt;"",COUNTA($E$178:E178),"")</f>
        <v>1</v>
      </c>
      <c r="D178" s="12">
        <v>10000231</v>
      </c>
      <c r="E178" s="13" t="s">
        <v>182</v>
      </c>
      <c r="F178" s="12"/>
      <c r="G178" s="13" t="str">
        <f>'[11]01. Manning Table'!B355</f>
        <v>Kepala Divisi Komersial</v>
      </c>
      <c r="H178" s="14" t="s">
        <v>205</v>
      </c>
    </row>
    <row r="179" spans="2:8" x14ac:dyDescent="0.3">
      <c r="B179" s="11">
        <f>IF(C179&lt;&gt;"",COUNTA(C$7:$C179),"")</f>
        <v>173</v>
      </c>
      <c r="C179" s="22">
        <f>IF(E179&lt;&gt;"",COUNTA($E$178:E179),"")</f>
        <v>2</v>
      </c>
      <c r="D179" s="12">
        <v>10000259</v>
      </c>
      <c r="E179" s="13" t="s">
        <v>183</v>
      </c>
      <c r="F179" s="12"/>
      <c r="G179" s="13" t="str">
        <f>'[11]01. Manning Table'!C357</f>
        <v>Kepala Dinas Kontrak &amp; Pengadaan</v>
      </c>
      <c r="H179" s="14" t="s">
        <v>205</v>
      </c>
    </row>
    <row r="180" spans="2:8" x14ac:dyDescent="0.3">
      <c r="B180" s="11">
        <f>IF(C180&lt;&gt;"",COUNTA(C$7:$C180),"")</f>
        <v>174</v>
      </c>
      <c r="C180" s="22">
        <f>IF(E180&lt;&gt;"",COUNTA($E$178:E180),"")</f>
        <v>3</v>
      </c>
      <c r="D180" s="16">
        <v>10000368</v>
      </c>
      <c r="E180" s="13" t="s">
        <v>184</v>
      </c>
      <c r="F180" s="16"/>
      <c r="G180" s="17" t="str">
        <f>'[11]01. Manning Table'!C362</f>
        <v>Petugas Group Control Procurement</v>
      </c>
      <c r="H180" s="18" t="s">
        <v>205</v>
      </c>
    </row>
    <row r="181" spans="2:8" x14ac:dyDescent="0.3">
      <c r="B181" s="11">
        <f>IF(C181&lt;&gt;"",COUNTA(C$7:$C181),"")</f>
        <v>175</v>
      </c>
      <c r="C181" s="22">
        <f>IF(E181&lt;&gt;"",COUNTA($E$178:E181),"")</f>
        <v>4</v>
      </c>
      <c r="D181" s="16">
        <v>10000371</v>
      </c>
      <c r="E181" s="13" t="s">
        <v>185</v>
      </c>
      <c r="F181" s="16"/>
      <c r="G181" s="17" t="str">
        <f>'[11]01. Manning Table'!C363</f>
        <v>Petugas Group Control Procurement</v>
      </c>
      <c r="H181" s="18" t="s">
        <v>205</v>
      </c>
    </row>
    <row r="182" spans="2:8" x14ac:dyDescent="0.3">
      <c r="B182" s="11">
        <f>IF(C182&lt;&gt;"",COUNTA(C$7:$C182),"")</f>
        <v>176</v>
      </c>
      <c r="C182" s="22">
        <f>IF(E182&lt;&gt;"",COUNTA($E$178:E182),"")</f>
        <v>5</v>
      </c>
      <c r="D182" s="12">
        <v>10000222</v>
      </c>
      <c r="E182" s="13" t="s">
        <v>186</v>
      </c>
      <c r="F182" s="12"/>
      <c r="G182" s="13" t="str">
        <f>'[11]01. Manning Table'!C358</f>
        <v>Kepala Seksi Pengadaan Barang</v>
      </c>
      <c r="H182" s="14" t="s">
        <v>205</v>
      </c>
    </row>
    <row r="183" spans="2:8" ht="16.5" customHeight="1" x14ac:dyDescent="0.3">
      <c r="B183" s="11">
        <f>IF(C183&lt;&gt;"",COUNTA(C$7:$C183),"")</f>
        <v>177</v>
      </c>
      <c r="C183" s="22">
        <f>IF(E183&lt;&gt;"",COUNTA($E$178:E183),"")</f>
        <v>6</v>
      </c>
      <c r="D183" s="12">
        <v>10000257</v>
      </c>
      <c r="E183" s="13" t="s">
        <v>187</v>
      </c>
      <c r="F183" s="12"/>
      <c r="G183" s="13" t="str">
        <f>'[11]01. Manning Table'!C360</f>
        <v>Kepala Seksi Pengadaan Jasa</v>
      </c>
      <c r="H183" s="14" t="s">
        <v>205</v>
      </c>
    </row>
    <row r="184" spans="2:8" x14ac:dyDescent="0.3">
      <c r="B184" s="11">
        <f>IF(C184&lt;&gt;"",COUNTA(C$7:$C184),"")</f>
        <v>178</v>
      </c>
      <c r="C184" s="22">
        <f>IF(E184&lt;&gt;"",COUNTA($E$178:E184),"")</f>
        <v>7</v>
      </c>
      <c r="D184" s="12">
        <v>10000175</v>
      </c>
      <c r="E184" s="13" t="s">
        <v>188</v>
      </c>
      <c r="F184" s="12"/>
      <c r="G184" s="13" t="str">
        <f>'[11]01. Manning Table'!C361</f>
        <v>Analis Pengadaan Jasa</v>
      </c>
      <c r="H184" s="14" t="s">
        <v>205</v>
      </c>
    </row>
    <row r="185" spans="2:8" x14ac:dyDescent="0.3">
      <c r="B185" s="11">
        <f>IF(C185&lt;&gt;"",COUNTA(C$7:$C185),"")</f>
        <v>179</v>
      </c>
      <c r="C185" s="22">
        <f>IF(E185&lt;&gt;"",COUNTA($E$178:E185),"")</f>
        <v>8</v>
      </c>
      <c r="D185" s="12">
        <v>10000251</v>
      </c>
      <c r="E185" s="13" t="s">
        <v>189</v>
      </c>
      <c r="F185" s="12"/>
      <c r="G185" s="13" t="str">
        <f>'[11]01. Manning Table'!C366</f>
        <v xml:space="preserve">AM Group Kontrak &amp; Penjualan </v>
      </c>
      <c r="H185" s="14" t="s">
        <v>205</v>
      </c>
    </row>
    <row r="186" spans="2:8" ht="17.25" customHeight="1" thickBot="1" x14ac:dyDescent="0.35">
      <c r="B186" s="11">
        <f>IF(C186&lt;&gt;"",COUNTA(C$7:$C186),"")</f>
        <v>180</v>
      </c>
      <c r="C186" s="22">
        <f>IF(E186&lt;&gt;"",COUNTA($E$178:E186),"")</f>
        <v>9</v>
      </c>
      <c r="D186" s="35">
        <v>10000330</v>
      </c>
      <c r="E186" s="20" t="s">
        <v>190</v>
      </c>
      <c r="F186" s="19"/>
      <c r="G186" s="20" t="str">
        <f>'[11]01. Manning Table'!C367</f>
        <v xml:space="preserve">AP Group Kontrak &amp; Penjualan </v>
      </c>
      <c r="H186" s="21" t="s">
        <v>205</v>
      </c>
    </row>
    <row r="187" spans="2:8" ht="17.25" customHeight="1" x14ac:dyDescent="0.3">
      <c r="B187" s="2"/>
      <c r="C187" s="2"/>
      <c r="D187" s="36"/>
      <c r="E187"/>
      <c r="H187" s="2"/>
    </row>
    <row r="188" spans="2:8" ht="16.5" customHeight="1" x14ac:dyDescent="0.3">
      <c r="B188" s="2"/>
      <c r="C188" s="2"/>
      <c r="H188" s="37"/>
    </row>
    <row r="189" spans="2:8" ht="16.5" customHeight="1" x14ac:dyDescent="0.3">
      <c r="B189" s="4"/>
    </row>
    <row r="190" spans="2:8" ht="16.5" customHeight="1" x14ac:dyDescent="0.3">
      <c r="B190" s="4"/>
    </row>
    <row r="191" spans="2:8" ht="16.5" customHeight="1" x14ac:dyDescent="0.3">
      <c r="B191" s="4"/>
    </row>
    <row r="192" spans="2:8" ht="16.5" customHeight="1" x14ac:dyDescent="0.3">
      <c r="B192" s="4"/>
    </row>
    <row r="193" spans="2:2" ht="16.5" customHeight="1" x14ac:dyDescent="0.3">
      <c r="B193" s="4"/>
    </row>
    <row r="194" spans="2:2" ht="16.5" customHeight="1" x14ac:dyDescent="0.3">
      <c r="B194" s="4"/>
    </row>
    <row r="195" spans="2:2" ht="16.5" customHeight="1" x14ac:dyDescent="0.3">
      <c r="B195" s="4"/>
    </row>
    <row r="196" spans="2:2" ht="16.5" customHeight="1" x14ac:dyDescent="0.3">
      <c r="B196" s="4"/>
    </row>
  </sheetData>
  <autoFilter ref="B6:H191" xr:uid="{00000000-0009-0000-0000-000001000000}"/>
  <printOptions horizontalCentered="1"/>
  <pageMargins left="0.118110236220472" right="0.196850393700787" top="0.27559055118110198" bottom="0.47244094488188998" header="0.15748031496063" footer="0.118110236220472"/>
  <pageSetup paperSize="9" scale="22" firstPageNumber="0" fitToHeight="0" orientation="landscape" horizontalDpi="300" verticalDpi="300" r:id="rId1"/>
  <headerFooter alignWithMargins="0">
    <oddFooter>&amp;L&amp;"Arial Narrow,Regular"&amp;8&amp;F / &amp;A&amp;C&amp;"Arial Narrow,Regular"&amp;8&amp;D&amp;R&amp;"Arial Narrow,Regular"&amp;8&amp;P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02. Data Karyawan</vt:lpstr>
      <vt:lpstr>'02. Data Karyawan'!Print_Area</vt:lpstr>
      <vt:lpstr>'02. Data Karyawan'!Print_Titles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RAYI ELOK INTANIA</dc:creator>
  <cp:lastModifiedBy>Ardika Aji Setiawan</cp:lastModifiedBy>
  <dcterms:created xsi:type="dcterms:W3CDTF">2026-04-10T09:23:04Z</dcterms:created>
  <dcterms:modified xsi:type="dcterms:W3CDTF">2026-05-26T08:58:58Z</dcterms:modified>
</cp:coreProperties>
</file>